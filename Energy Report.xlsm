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uj Joshi\Downloads\Energy Report\"/>
    </mc:Choice>
  </mc:AlternateContent>
  <xr:revisionPtr revIDLastSave="0" documentId="13_ncr:1_{5B01D7F1-3CA7-4B6B-B318-0F277996CB5B}" xr6:coauthVersionLast="47" xr6:coauthVersionMax="47" xr10:uidLastSave="{00000000-0000-0000-0000-000000000000}"/>
  <bookViews>
    <workbookView xWindow="1520" yWindow="1520" windowWidth="14400" windowHeight="7270" firstSheet="1" activeTab="1" xr2:uid="{00000000-000D-0000-FFFF-FFFF00000000}"/>
  </bookViews>
  <sheets>
    <sheet name="Report" sheetId="2" r:id="rId1"/>
    <sheet name="Form" sheetId="7" r:id="rId2"/>
    <sheet name="Calculation" sheetId="3" r:id="rId3"/>
    <sheet name="Pred. EUI Calc." sheetId="9" r:id="rId4"/>
    <sheet name="Pred. EUI" sheetId="8" r:id="rId5"/>
    <sheet name="Lighting Calculation" sheetId="11" r:id="rId6"/>
    <sheet name="Lookup Tables" sheetId="4" r:id="rId7"/>
    <sheet name="Max" sheetId="5" r:id="rId8"/>
    <sheet name="Min" sheetId="6" r:id="rId9"/>
    <sheet name="Refference" sheetId="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" i="8" l="1"/>
  <c r="Q4" i="2" l="1"/>
  <c r="C36" i="3"/>
  <c r="E2" i="2"/>
  <c r="AF2" i="2" s="1"/>
  <c r="D6" i="3"/>
  <c r="B6" i="11"/>
  <c r="AN29" i="2"/>
  <c r="AN30" i="2"/>
  <c r="AN32" i="2"/>
  <c r="AX35" i="2"/>
  <c r="AV35" i="2"/>
  <c r="G53" i="7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129" i="3" a="1"/>
  <c r="H129" i="3" s="1"/>
  <c r="K26" i="7" a="1"/>
  <c r="K26" i="7" s="1"/>
  <c r="AK7" i="3"/>
  <c r="AL7" i="3"/>
  <c r="AA7" i="3"/>
  <c r="B124" i="3"/>
  <c r="B125" i="3"/>
  <c r="C116" i="3"/>
  <c r="B119" i="3" s="1"/>
  <c r="B120" i="3" s="1"/>
  <c r="C114" i="3"/>
  <c r="D117" i="3" s="1"/>
  <c r="F117" i="3" s="1"/>
  <c r="C118" i="3"/>
  <c r="C121" i="3"/>
  <c r="B3" i="3"/>
  <c r="U9" i="3"/>
  <c r="U10" i="3"/>
  <c r="U11" i="3"/>
  <c r="U12" i="3"/>
  <c r="U13" i="3"/>
  <c r="U14" i="3"/>
  <c r="U15" i="3"/>
  <c r="U16" i="3"/>
  <c r="U17" i="3"/>
  <c r="U18" i="3"/>
  <c r="U19" i="3"/>
  <c r="U8" i="3"/>
  <c r="B8" i="3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K40" i="7"/>
  <c r="D40" i="7"/>
  <c r="E53" i="7" s="1"/>
  <c r="I19" i="1" a="1"/>
  <c r="I19" i="1"/>
  <c r="J32" i="8"/>
  <c r="I32" i="8"/>
  <c r="I33" i="8"/>
  <c r="H32" i="8"/>
  <c r="I41" i="8"/>
  <c r="L5" i="9"/>
  <c r="L4" i="9"/>
  <c r="J5" i="9"/>
  <c r="K5" i="9" s="1"/>
  <c r="J6" i="9"/>
  <c r="K6" i="9" s="1"/>
  <c r="J7" i="9"/>
  <c r="K7" i="9" s="1"/>
  <c r="J4" i="9"/>
  <c r="J34" i="8"/>
  <c r="J35" i="8"/>
  <c r="J36" i="8"/>
  <c r="J37" i="8"/>
  <c r="J38" i="8"/>
  <c r="J39" i="8"/>
  <c r="J40" i="8"/>
  <c r="J41" i="8"/>
  <c r="J42" i="8"/>
  <c r="J43" i="8"/>
  <c r="J44" i="8"/>
  <c r="J45" i="8"/>
  <c r="J31" i="8"/>
  <c r="I34" i="8"/>
  <c r="I35" i="8"/>
  <c r="I36" i="8"/>
  <c r="I37" i="8"/>
  <c r="I38" i="8"/>
  <c r="I39" i="8"/>
  <c r="I40" i="8"/>
  <c r="I42" i="8"/>
  <c r="I43" i="8"/>
  <c r="I44" i="8"/>
  <c r="I45" i="8"/>
  <c r="I31" i="8"/>
  <c r="H34" i="8"/>
  <c r="H35" i="8"/>
  <c r="H36" i="8"/>
  <c r="H37" i="8"/>
  <c r="H38" i="8"/>
  <c r="H39" i="8"/>
  <c r="H40" i="8"/>
  <c r="H41" i="8"/>
  <c r="H42" i="8"/>
  <c r="H43" i="8"/>
  <c r="H44" i="8"/>
  <c r="H45" i="8"/>
  <c r="H31" i="8"/>
  <c r="C1" i="9"/>
  <c r="E47" i="8"/>
  <c r="E48" i="8"/>
  <c r="E49" i="8"/>
  <c r="E50" i="8"/>
  <c r="E51" i="8"/>
  <c r="D47" i="8"/>
  <c r="D48" i="8"/>
  <c r="D49" i="8"/>
  <c r="D50" i="8"/>
  <c r="D51" i="8"/>
  <c r="A51" i="8"/>
  <c r="A50" i="8"/>
  <c r="A49" i="8"/>
  <c r="A48" i="8"/>
  <c r="A47" i="8"/>
  <c r="A46" i="8"/>
  <c r="A45" i="8"/>
  <c r="A44" i="8"/>
  <c r="A43" i="8"/>
  <c r="A42" i="8"/>
  <c r="A41" i="8"/>
  <c r="A40" i="8"/>
  <c r="A31" i="8" a="1"/>
  <c r="A31" i="8" s="1"/>
  <c r="E30" i="8"/>
  <c r="J30" i="8" s="1"/>
  <c r="D30" i="8"/>
  <c r="I30" i="8" s="1"/>
  <c r="C30" i="8"/>
  <c r="H30" i="8" s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3" i="8"/>
  <c r="E2" i="8"/>
  <c r="D2" i="8"/>
  <c r="C2" i="8"/>
  <c r="BB31" i="2" l="1"/>
  <c r="BB34" i="2"/>
  <c r="BB33" i="2"/>
  <c r="H35" i="2"/>
  <c r="F35" i="2"/>
  <c r="B13" i="9" a="1"/>
  <c r="B13" i="9" s="1"/>
  <c r="F13" i="9" s="1" a="1"/>
  <c r="F13" i="9" s="1"/>
  <c r="M8" i="9"/>
  <c r="BB35" i="2"/>
  <c r="U20" i="3"/>
  <c r="M9" i="9"/>
  <c r="D35" i="2"/>
  <c r="M5" i="9"/>
  <c r="B135" i="3"/>
  <c r="C135" i="3" s="1"/>
  <c r="C49" i="7" s="1"/>
  <c r="B133" i="3"/>
  <c r="C133" i="3" s="1"/>
  <c r="C47" i="7" s="1"/>
  <c r="B137" i="3"/>
  <c r="C137" i="3" s="1"/>
  <c r="C51" i="7" s="1"/>
  <c r="B132" i="3"/>
  <c r="C132" i="3" s="1"/>
  <c r="C46" i="7" s="1"/>
  <c r="E114" i="3"/>
  <c r="C117" i="3"/>
  <c r="B136" i="3"/>
  <c r="C136" i="3" s="1"/>
  <c r="C50" i="7" s="1"/>
  <c r="B134" i="3"/>
  <c r="C134" i="3" s="1"/>
  <c r="C48" i="7" s="1"/>
  <c r="B131" i="3"/>
  <c r="C131" i="3" s="1"/>
  <c r="C45" i="7" s="1"/>
  <c r="D116" i="3"/>
  <c r="F116" i="3" s="1"/>
  <c r="K4" i="9"/>
  <c r="B130" i="3"/>
  <c r="C130" i="3" s="1"/>
  <c r="C44" i="7" s="1"/>
  <c r="B128" i="3"/>
  <c r="C128" i="3" s="1"/>
  <c r="C42" i="7" s="1"/>
  <c r="B138" i="3"/>
  <c r="C138" i="3" s="1"/>
  <c r="C52" i="7" s="1"/>
  <c r="B129" i="3"/>
  <c r="C129" i="3" s="1"/>
  <c r="C43" i="7" s="1"/>
  <c r="B127" i="3"/>
  <c r="D35" i="7" s="1"/>
  <c r="D121" i="3"/>
  <c r="C120" i="3"/>
  <c r="D120" i="3"/>
  <c r="C119" i="3"/>
  <c r="D119" i="3"/>
  <c r="D118" i="3"/>
  <c r="F118" i="3" s="1"/>
  <c r="E117" i="3"/>
  <c r="E118" i="3" s="1"/>
  <c r="B12" i="9" a="1"/>
  <c r="B12" i="9" s="1"/>
  <c r="D12" i="9" s="1" a="1"/>
  <c r="D12" i="9" s="1"/>
  <c r="E12" i="9" s="1"/>
  <c r="B31" i="8" a="1"/>
  <c r="C36" i="8" s="1"/>
  <c r="D13" i="9" l="1" a="1"/>
  <c r="D13" i="9" s="1"/>
  <c r="E13" i="9" s="1"/>
  <c r="G13" i="9" s="1"/>
  <c r="Z16" i="3"/>
  <c r="Z10" i="3"/>
  <c r="Z18" i="3"/>
  <c r="Z19" i="3"/>
  <c r="Z17" i="3"/>
  <c r="Z13" i="3"/>
  <c r="Z8" i="3"/>
  <c r="Z11" i="3"/>
  <c r="Z9" i="3"/>
  <c r="Z15" i="3"/>
  <c r="Z14" i="3"/>
  <c r="Z12" i="3"/>
  <c r="C127" i="3"/>
  <c r="C41" i="7" s="1"/>
  <c r="M3" i="9"/>
  <c r="M15" i="9"/>
  <c r="F12" i="9" a="1"/>
  <c r="F12" i="9" s="1"/>
  <c r="G12" i="9" s="1"/>
  <c r="E34" i="8"/>
  <c r="D35" i="8"/>
  <c r="E42" i="8"/>
  <c r="C34" i="8"/>
  <c r="D38" i="8"/>
  <c r="C39" i="8"/>
  <c r="D41" i="8"/>
  <c r="D37" i="8"/>
  <c r="E41" i="8"/>
  <c r="C41" i="8"/>
  <c r="C35" i="8"/>
  <c r="D45" i="8"/>
  <c r="D43" i="8"/>
  <c r="E40" i="8"/>
  <c r="C44" i="8"/>
  <c r="C37" i="8"/>
  <c r="D39" i="8"/>
  <c r="B31" i="8"/>
  <c r="E46" i="8"/>
  <c r="C40" i="8"/>
  <c r="D42" i="8"/>
  <c r="C46" i="8"/>
  <c r="C43" i="8"/>
  <c r="E45" i="8"/>
  <c r="D46" i="8"/>
  <c r="E36" i="8"/>
  <c r="E38" i="8"/>
  <c r="C38" i="8"/>
  <c r="D44" i="8"/>
  <c r="D36" i="8"/>
  <c r="C45" i="8"/>
  <c r="E43" i="8"/>
  <c r="D40" i="8"/>
  <c r="E39" i="8"/>
  <c r="E35" i="8"/>
  <c r="E44" i="8"/>
  <c r="E37" i="8"/>
  <c r="C42" i="8"/>
  <c r="D34" i="8"/>
  <c r="Z20" i="3" l="1"/>
  <c r="D31" i="8"/>
  <c r="E31" i="8"/>
  <c r="C31" i="8"/>
  <c r="L27" i="7" l="1" a="1"/>
  <c r="L27" i="7" s="1"/>
  <c r="C111" i="3" s="1"/>
  <c r="L28" i="7" a="1"/>
  <c r="L28" i="7" s="1"/>
  <c r="C110" i="3" s="1"/>
  <c r="L26" i="7" a="1"/>
  <c r="L26" i="7" s="1"/>
  <c r="C112" i="3" s="1"/>
  <c r="K27" i="7" a="1"/>
  <c r="K27" i="7" s="1"/>
  <c r="B111" i="3" s="1"/>
  <c r="K28" i="7" a="1"/>
  <c r="K28" i="7" s="1"/>
  <c r="B110" i="3" s="1"/>
  <c r="B112" i="3"/>
  <c r="L76" i="8"/>
  <c r="L66" i="8" s="1"/>
  <c r="G76" i="8"/>
  <c r="G66" i="8" s="1"/>
  <c r="B76" i="8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S3" i="1"/>
  <c r="AR3" i="1"/>
  <c r="AQ3" i="1"/>
  <c r="AP3" i="1"/>
  <c r="AO3" i="1"/>
  <c r="AN3" i="1"/>
  <c r="AM3" i="1"/>
  <c r="AL3" i="1"/>
  <c r="AK3" i="1"/>
  <c r="AJ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3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B3" i="1" a="1"/>
  <c r="AB3" i="1" s="1"/>
  <c r="AC3" i="1" s="1"/>
  <c r="X62" i="1"/>
  <c r="X61" i="1"/>
  <c r="X60" i="1"/>
  <c r="X59" i="1"/>
  <c r="X58" i="1"/>
  <c r="X55" i="1"/>
  <c r="X51" i="1"/>
  <c r="X50" i="1"/>
  <c r="X49" i="1"/>
  <c r="X45" i="1"/>
  <c r="X44" i="1"/>
  <c r="X43" i="1"/>
  <c r="X39" i="1"/>
  <c r="X38" i="1"/>
  <c r="X37" i="1"/>
  <c r="X33" i="1"/>
  <c r="X32" i="1"/>
  <c r="X31" i="1"/>
  <c r="X27" i="1"/>
  <c r="X26" i="1"/>
  <c r="X23" i="1"/>
  <c r="X21" i="1"/>
  <c r="X22" i="1"/>
  <c r="X28" i="1"/>
  <c r="X29" i="1"/>
  <c r="X30" i="1"/>
  <c r="X34" i="1"/>
  <c r="X35" i="1"/>
  <c r="X36" i="1"/>
  <c r="X40" i="1"/>
  <c r="X41" i="1"/>
  <c r="X42" i="1"/>
  <c r="X46" i="1"/>
  <c r="X47" i="1"/>
  <c r="X48" i="1"/>
  <c r="X52" i="1"/>
  <c r="X53" i="1"/>
  <c r="X54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20" i="1"/>
  <c r="X19" i="1"/>
  <c r="X17" i="1"/>
  <c r="X16" i="1"/>
  <c r="X15" i="1"/>
  <c r="X14" i="1"/>
  <c r="X13" i="1"/>
  <c r="X12" i="1"/>
  <c r="X11" i="1"/>
  <c r="X5" i="1"/>
  <c r="X10" i="1"/>
  <c r="X7" i="1"/>
  <c r="X6" i="1"/>
  <c r="X8" i="1"/>
  <c r="X9" i="1"/>
  <c r="X18" i="1"/>
  <c r="X4" i="1"/>
  <c r="R8" i="1"/>
  <c r="T7" i="1"/>
  <c r="S7" i="1"/>
  <c r="R6" i="1"/>
  <c r="R5" i="1"/>
  <c r="R4" i="1"/>
  <c r="R3" i="1"/>
  <c r="N4" i="1"/>
  <c r="N5" i="1"/>
  <c r="N6" i="1"/>
  <c r="N7" i="1"/>
  <c r="N8" i="1"/>
  <c r="N9" i="1"/>
  <c r="N10" i="1"/>
  <c r="N11" i="1"/>
  <c r="N12" i="1"/>
  <c r="N13" i="1"/>
  <c r="N14" i="1"/>
  <c r="N3" i="1"/>
  <c r="K19" i="7" l="1" a="1"/>
  <c r="K19" i="7" s="1"/>
  <c r="J11" i="9" s="1"/>
  <c r="K20" i="7" a="1"/>
  <c r="K20" i="7" s="1"/>
  <c r="J12" i="9" s="1"/>
  <c r="B66" i="8"/>
  <c r="K18" i="7" a="1"/>
  <c r="K18" i="7" s="1"/>
  <c r="J10" i="9" s="1"/>
  <c r="K17" i="7" a="1"/>
  <c r="K17" i="7" s="1"/>
  <c r="J9" i="9" s="1"/>
  <c r="K16" i="7" a="1"/>
  <c r="K16" i="7" s="1"/>
  <c r="AC22" i="1"/>
  <c r="AC25" i="1"/>
  <c r="AC10" i="1"/>
  <c r="AC7" i="1"/>
  <c r="AC23" i="1"/>
  <c r="AC9" i="1"/>
  <c r="AC11" i="1"/>
  <c r="AC12" i="1"/>
  <c r="AC13" i="1"/>
  <c r="AC21" i="1"/>
  <c r="AC14" i="1"/>
  <c r="AC5" i="1"/>
  <c r="AC19" i="1"/>
  <c r="AC20" i="1"/>
  <c r="AC15" i="1"/>
  <c r="AC4" i="1"/>
  <c r="AC16" i="1"/>
  <c r="AC6" i="1"/>
  <c r="AC8" i="1"/>
  <c r="AC24" i="1"/>
  <c r="K10" i="9" l="1"/>
  <c r="M13" i="9" s="1"/>
  <c r="K12" i="9"/>
  <c r="J8" i="9"/>
  <c r="K8" i="9" s="1"/>
  <c r="M11" i="9" s="1"/>
  <c r="K13" i="9"/>
  <c r="K9" i="9"/>
  <c r="M4" i="9" s="1" a="1"/>
  <c r="M4" i="9" s="1"/>
  <c r="K11" i="9"/>
  <c r="M6" i="9" s="1"/>
  <c r="B11" i="9" a="1"/>
  <c r="B11" i="9" s="1"/>
  <c r="B10" i="9" a="1"/>
  <c r="B10" i="9" s="1"/>
  <c r="D10" i="9" s="1" a="1"/>
  <c r="D10" i="9" s="1"/>
  <c r="B8" i="9" a="1"/>
  <c r="B8" i="9" s="1"/>
  <c r="D8" i="9" s="1" a="1"/>
  <c r="D8" i="9" s="1"/>
  <c r="B7" i="9" a="1"/>
  <c r="B7" i="9" s="1"/>
  <c r="B6" i="9" a="1"/>
  <c r="B6" i="9" s="1"/>
  <c r="B9" i="9" a="1"/>
  <c r="B9" i="9" s="1"/>
  <c r="D9" i="9" s="1" a="1"/>
  <c r="D9" i="9" s="1"/>
  <c r="B5" i="9" a="1"/>
  <c r="B5" i="9" s="1"/>
  <c r="B4" i="9" a="1"/>
  <c r="B4" i="9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2" i="1"/>
  <c r="C11" i="9" l="1"/>
  <c r="M14" i="9"/>
  <c r="M12" i="9"/>
  <c r="C6" i="9" s="1"/>
  <c r="M10" i="9"/>
  <c r="C9" i="9" s="1"/>
  <c r="M7" i="9"/>
  <c r="C8" i="9" s="1"/>
  <c r="E8" i="9" s="1"/>
  <c r="C10" i="9"/>
  <c r="C5" i="9"/>
  <c r="D4" i="9" a="1"/>
  <c r="D4" i="9" s="1"/>
  <c r="E4" i="9" s="1"/>
  <c r="F4" i="9" a="1"/>
  <c r="F4" i="9" s="1"/>
  <c r="D5" i="9" a="1"/>
  <c r="D5" i="9" s="1"/>
  <c r="F5" i="9" a="1"/>
  <c r="F5" i="9" s="1"/>
  <c r="F9" i="9" a="1"/>
  <c r="F9" i="9" s="1"/>
  <c r="D6" i="9" a="1"/>
  <c r="D6" i="9" s="1"/>
  <c r="F6" i="9" a="1"/>
  <c r="F6" i="9" s="1"/>
  <c r="D7" i="9" a="1"/>
  <c r="D7" i="9" s="1"/>
  <c r="F7" i="9" a="1"/>
  <c r="F7" i="9" s="1"/>
  <c r="F8" i="9" a="1"/>
  <c r="F8" i="9" s="1"/>
  <c r="D11" i="9" a="1"/>
  <c r="D11" i="9" s="1"/>
  <c r="F11" i="9" a="1"/>
  <c r="F11" i="9" s="1"/>
  <c r="F10" i="9" a="1"/>
  <c r="F10" i="9" s="1"/>
  <c r="E11" i="9" l="1"/>
  <c r="G11" i="9" s="1"/>
  <c r="C7" i="9"/>
  <c r="E7" i="9" s="1"/>
  <c r="G7" i="9" s="1"/>
  <c r="E10" i="9"/>
  <c r="G10" i="9" s="1"/>
  <c r="E5" i="9"/>
  <c r="G5" i="9" s="1"/>
  <c r="G4" i="9"/>
  <c r="G8" i="9"/>
  <c r="E6" i="9"/>
  <c r="G6" i="9" s="1"/>
  <c r="E9" i="9"/>
  <c r="G9" i="9" s="1"/>
  <c r="R34" i="2"/>
  <c r="T34" i="2"/>
  <c r="V34" i="2"/>
  <c r="X34" i="2"/>
  <c r="R32" i="2"/>
  <c r="T32" i="2"/>
  <c r="V32" i="2"/>
  <c r="X32" i="2"/>
  <c r="Z32" i="2"/>
  <c r="AJ20" i="3"/>
  <c r="L32" i="2"/>
  <c r="D32" i="2"/>
  <c r="F32" i="2"/>
  <c r="H32" i="2"/>
  <c r="J32" i="2"/>
  <c r="G31" i="3"/>
  <c r="X102" i="3"/>
  <c r="D99" i="3" s="1"/>
  <c r="Q99" i="3" s="1"/>
  <c r="T99" i="3" s="1"/>
  <c r="X100" i="3"/>
  <c r="D100" i="3" s="1"/>
  <c r="Q100" i="3" s="1"/>
  <c r="T100" i="3" s="1"/>
  <c r="X99" i="3"/>
  <c r="D101" i="3" s="1"/>
  <c r="Q101" i="3" s="1"/>
  <c r="T101" i="3" s="1"/>
  <c r="D98" i="3"/>
  <c r="Q98" i="3" s="1"/>
  <c r="T98" i="3" s="1"/>
  <c r="D97" i="3"/>
  <c r="Q97" i="3" s="1"/>
  <c r="T97" i="3" s="1"/>
  <c r="X98" i="3"/>
  <c r="D96" i="3" s="1"/>
  <c r="Q96" i="3" s="1"/>
  <c r="T96" i="3" s="1"/>
  <c r="X23" i="3"/>
  <c r="W23" i="3"/>
  <c r="A23" i="3"/>
  <c r="T25" i="3"/>
  <c r="C50" i="3"/>
  <c r="T50" i="3"/>
  <c r="C4" i="2"/>
  <c r="AB4" i="2" s="1"/>
  <c r="AX4" i="2"/>
  <c r="AJ4" i="2"/>
  <c r="AP4" i="2"/>
  <c r="BF4" i="2"/>
  <c r="I26" i="2"/>
  <c r="K26" i="2" s="1"/>
  <c r="G15" i="9" l="1"/>
  <c r="T102" i="3"/>
  <c r="D106" i="3" l="1"/>
  <c r="D112" i="3" s="1"/>
  <c r="H112" i="3" s="1"/>
  <c r="I112" i="3" s="1"/>
  <c r="J112" i="3" s="1"/>
  <c r="G13" i="3" l="1"/>
  <c r="G17" i="3"/>
  <c r="G16" i="3"/>
  <c r="G14" i="3"/>
  <c r="G18" i="3"/>
  <c r="G8" i="3"/>
  <c r="D110" i="3"/>
  <c r="H110" i="3" s="1"/>
  <c r="I110" i="3" s="1"/>
  <c r="J110" i="3" s="1"/>
  <c r="E8" i="3" s="1"/>
  <c r="D111" i="3"/>
  <c r="H111" i="3" s="1"/>
  <c r="I111" i="3" s="1"/>
  <c r="J111" i="3" s="1"/>
  <c r="F10" i="3" s="1"/>
  <c r="G11" i="3"/>
  <c r="G19" i="3"/>
  <c r="G9" i="3"/>
  <c r="G12" i="3"/>
  <c r="G15" i="3"/>
  <c r="G10" i="3"/>
  <c r="F17" i="3" l="1"/>
  <c r="F18" i="3"/>
  <c r="E15" i="3"/>
  <c r="E14" i="3"/>
  <c r="F8" i="3"/>
  <c r="F9" i="3"/>
  <c r="F19" i="3"/>
  <c r="F16" i="3"/>
  <c r="E12" i="3"/>
  <c r="E17" i="3"/>
  <c r="E16" i="3"/>
  <c r="E13" i="3"/>
  <c r="E11" i="3"/>
  <c r="E18" i="3"/>
  <c r="F15" i="3"/>
  <c r="F14" i="3"/>
  <c r="F13" i="3"/>
  <c r="E10" i="3"/>
  <c r="F12" i="3"/>
  <c r="E9" i="3"/>
  <c r="F11" i="3"/>
  <c r="E19" i="3"/>
  <c r="AA10" i="3" l="1"/>
  <c r="AA11" i="3"/>
  <c r="AA12" i="3"/>
  <c r="AA13" i="3"/>
  <c r="AA14" i="3"/>
  <c r="AA15" i="3"/>
  <c r="AA16" i="3"/>
  <c r="AA17" i="3"/>
  <c r="AA18" i="3"/>
  <c r="AA19" i="3"/>
  <c r="AF13" i="3" l="1"/>
  <c r="AC13" i="3"/>
  <c r="AB13" i="3"/>
  <c r="S19" i="3"/>
  <c r="R19" i="3"/>
  <c r="AC12" i="3"/>
  <c r="AF12" i="3"/>
  <c r="AB12" i="3"/>
  <c r="S14" i="3"/>
  <c r="R14" i="3"/>
  <c r="S18" i="3"/>
  <c r="R18" i="3"/>
  <c r="AC11" i="3"/>
  <c r="AF11" i="3"/>
  <c r="AB11" i="3"/>
  <c r="AF10" i="3"/>
  <c r="AC10" i="3"/>
  <c r="AB10" i="3"/>
  <c r="L53" i="7"/>
  <c r="S13" i="3"/>
  <c r="R13" i="3"/>
  <c r="AF19" i="3"/>
  <c r="AC19" i="3"/>
  <c r="AB19" i="3"/>
  <c r="S12" i="3"/>
  <c r="R12" i="3"/>
  <c r="AF18" i="3"/>
  <c r="AC18" i="3"/>
  <c r="AB18" i="3"/>
  <c r="AF17" i="3"/>
  <c r="AC17" i="3"/>
  <c r="AB17" i="3"/>
  <c r="AF16" i="3"/>
  <c r="AC16" i="3"/>
  <c r="AB16" i="3"/>
  <c r="S11" i="3"/>
  <c r="R11" i="3"/>
  <c r="S10" i="3"/>
  <c r="R10" i="3"/>
  <c r="AA9" i="3"/>
  <c r="AC15" i="3"/>
  <c r="AF15" i="3"/>
  <c r="AB15" i="3"/>
  <c r="AC14" i="3"/>
  <c r="AF14" i="3"/>
  <c r="AB14" i="3"/>
  <c r="C12" i="3"/>
  <c r="AC9" i="3" l="1"/>
  <c r="AF9" i="3"/>
  <c r="AB9" i="3"/>
  <c r="S15" i="3"/>
  <c r="R15" i="3"/>
  <c r="AD15" i="3"/>
  <c r="AD18" i="3"/>
  <c r="AD19" i="3"/>
  <c r="AD10" i="3"/>
  <c r="S9" i="3"/>
  <c r="R9" i="3"/>
  <c r="V9" i="3"/>
  <c r="C9" i="3"/>
  <c r="AD17" i="3"/>
  <c r="K53" i="7"/>
  <c r="E17" i="7" s="1"/>
  <c r="E18" i="7" s="1"/>
  <c r="AA8" i="3"/>
  <c r="D12" i="3"/>
  <c r="H12" i="3"/>
  <c r="S17" i="3"/>
  <c r="R17" i="3"/>
  <c r="S16" i="3"/>
  <c r="R16" i="3"/>
  <c r="C13" i="3"/>
  <c r="S8" i="3"/>
  <c r="R8" i="3"/>
  <c r="AD16" i="3"/>
  <c r="AD13" i="3"/>
  <c r="C18" i="3"/>
  <c r="AD12" i="3"/>
  <c r="E58" i="7"/>
  <c r="K33" i="2"/>
  <c r="AD11" i="3"/>
  <c r="AD14" i="3"/>
  <c r="C15" i="3"/>
  <c r="V12" i="3"/>
  <c r="Y12" i="3" s="1"/>
  <c r="C17" i="3"/>
  <c r="C11" i="3"/>
  <c r="C16" i="3"/>
  <c r="V18" i="3"/>
  <c r="V13" i="3"/>
  <c r="AE13" i="3" l="1"/>
  <c r="AH13" i="3" s="1"/>
  <c r="AG13" i="3"/>
  <c r="D17" i="3"/>
  <c r="H17" i="3"/>
  <c r="AE15" i="3"/>
  <c r="AH15" i="3" s="1"/>
  <c r="AG15" i="3"/>
  <c r="D11" i="3"/>
  <c r="H11" i="3"/>
  <c r="AE16" i="3"/>
  <c r="AH16" i="3" s="1"/>
  <c r="AG16" i="3"/>
  <c r="AE10" i="3"/>
  <c r="AH10" i="3" s="1"/>
  <c r="AG10" i="3"/>
  <c r="C8" i="3"/>
  <c r="AE12" i="3"/>
  <c r="AH12" i="3" s="1"/>
  <c r="AG12" i="3"/>
  <c r="E19" i="7"/>
  <c r="Y9" i="3"/>
  <c r="H9" i="3"/>
  <c r="D9" i="3"/>
  <c r="AK9" i="3" s="1"/>
  <c r="L12" i="3"/>
  <c r="P12" i="3" s="1"/>
  <c r="AK12" i="3"/>
  <c r="AF8" i="3"/>
  <c r="AF20" i="3" s="1"/>
  <c r="AC8" i="3"/>
  <c r="AB8" i="3"/>
  <c r="AB20" i="3" s="1"/>
  <c r="X96" i="3" s="1"/>
  <c r="AA20" i="3"/>
  <c r="AE17" i="3"/>
  <c r="AH17" i="3" s="1"/>
  <c r="AG17" i="3"/>
  <c r="AE19" i="3"/>
  <c r="AH19" i="3" s="1"/>
  <c r="AG19" i="3"/>
  <c r="D16" i="3"/>
  <c r="H16" i="3"/>
  <c r="Y18" i="3"/>
  <c r="D18" i="3"/>
  <c r="H18" i="3"/>
  <c r="D15" i="3"/>
  <c r="H15" i="3"/>
  <c r="AE11" i="3"/>
  <c r="AH11" i="3" s="1"/>
  <c r="AG11" i="3"/>
  <c r="AE18" i="3"/>
  <c r="AH18" i="3" s="1"/>
  <c r="AG18" i="3"/>
  <c r="AD9" i="3"/>
  <c r="AE14" i="3"/>
  <c r="AH14" i="3" s="1"/>
  <c r="AG14" i="3"/>
  <c r="Y13" i="3"/>
  <c r="D13" i="3"/>
  <c r="H13" i="3"/>
  <c r="V11" i="3"/>
  <c r="Y11" i="3" s="1"/>
  <c r="V15" i="3"/>
  <c r="Y15" i="3" s="1"/>
  <c r="V16" i="3"/>
  <c r="Y16" i="3" s="1"/>
  <c r="C10" i="3"/>
  <c r="C19" i="3"/>
  <c r="C14" i="3"/>
  <c r="V17" i="3"/>
  <c r="Y17" i="3" s="1"/>
  <c r="AI16" i="3" l="1"/>
  <c r="AI11" i="3"/>
  <c r="AI17" i="3"/>
  <c r="AI14" i="3"/>
  <c r="AI18" i="3"/>
  <c r="AE9" i="3"/>
  <c r="AH9" i="3" s="1"/>
  <c r="AG9" i="3"/>
  <c r="C20" i="3"/>
  <c r="H8" i="3"/>
  <c r="D8" i="3"/>
  <c r="AK8" i="3" s="1"/>
  <c r="D53" i="7"/>
  <c r="AI13" i="3"/>
  <c r="D10" i="3"/>
  <c r="H10" i="3"/>
  <c r="L13" i="3"/>
  <c r="P13" i="3" s="1"/>
  <c r="AK13" i="3"/>
  <c r="L15" i="3"/>
  <c r="P15" i="3" s="1"/>
  <c r="AK15" i="3"/>
  <c r="AD8" i="3"/>
  <c r="AC20" i="3"/>
  <c r="F29" i="3" s="1"/>
  <c r="L11" i="3"/>
  <c r="P11" i="3" s="1"/>
  <c r="AK11" i="3"/>
  <c r="L16" i="3"/>
  <c r="P16" i="3" s="1"/>
  <c r="AK16" i="3"/>
  <c r="AI12" i="3"/>
  <c r="AI10" i="3"/>
  <c r="AI15" i="3"/>
  <c r="L9" i="3"/>
  <c r="P9" i="3" s="1"/>
  <c r="H14" i="3"/>
  <c r="D14" i="3"/>
  <c r="AI19" i="3"/>
  <c r="L18" i="3"/>
  <c r="P18" i="3" s="1"/>
  <c r="AK18" i="3"/>
  <c r="L17" i="3"/>
  <c r="P17" i="3" s="1"/>
  <c r="AK17" i="3"/>
  <c r="V8" i="3"/>
  <c r="Y8" i="3" s="1"/>
  <c r="D19" i="3"/>
  <c r="H19" i="3"/>
  <c r="V14" i="3"/>
  <c r="Y14" i="3" s="1"/>
  <c r="V10" i="3"/>
  <c r="Y10" i="3" s="1"/>
  <c r="V19" i="3"/>
  <c r="Y19" i="3" s="1"/>
  <c r="H20" i="3" l="1"/>
  <c r="E14" i="7"/>
  <c r="E15" i="7" s="1"/>
  <c r="M26" i="2"/>
  <c r="K31" i="2"/>
  <c r="G42" i="3"/>
  <c r="G43" i="3" s="1"/>
  <c r="T31" i="3"/>
  <c r="H42" i="3"/>
  <c r="H43" i="3" s="1"/>
  <c r="AD20" i="3"/>
  <c r="AG8" i="3"/>
  <c r="AG20" i="3" s="1"/>
  <c r="AE8" i="3"/>
  <c r="L19" i="3"/>
  <c r="P19" i="3" s="1"/>
  <c r="AK19" i="3"/>
  <c r="L14" i="3"/>
  <c r="P14" i="3" s="1"/>
  <c r="AK14" i="3"/>
  <c r="G32" i="3"/>
  <c r="T30" i="3"/>
  <c r="D20" i="3"/>
  <c r="X95" i="3"/>
  <c r="H53" i="7"/>
  <c r="E56" i="7" s="1"/>
  <c r="V20" i="3"/>
  <c r="Y20" i="3" s="1"/>
  <c r="AI9" i="3"/>
  <c r="L8" i="3"/>
  <c r="L10" i="3"/>
  <c r="P10" i="3" s="1"/>
  <c r="AK10" i="3"/>
  <c r="G44" i="3" l="1"/>
  <c r="H44" i="3"/>
  <c r="AK20" i="3"/>
  <c r="AE20" i="3"/>
  <c r="AH8" i="3"/>
  <c r="AN9" i="2"/>
  <c r="AP9" i="2" s="1"/>
  <c r="AP10" i="2" s="1"/>
  <c r="AP11" i="2" s="1"/>
  <c r="K32" i="2"/>
  <c r="V48" i="3"/>
  <c r="E16" i="7"/>
  <c r="E21" i="7" s="1"/>
  <c r="E22" i="7" s="1"/>
  <c r="D27" i="7" s="1"/>
  <c r="E20" i="7"/>
  <c r="M31" i="2" s="1"/>
  <c r="M32" i="2" s="1"/>
  <c r="B29" i="3"/>
  <c r="C29" i="3"/>
  <c r="G29" i="3"/>
  <c r="C37" i="3" s="1"/>
  <c r="C38" i="3" s="1"/>
  <c r="P8" i="3"/>
  <c r="P20" i="3" s="1"/>
  <c r="W31" i="2" s="1"/>
  <c r="L20" i="3"/>
  <c r="V49" i="3" l="1"/>
  <c r="M35" i="2"/>
  <c r="D105" i="3"/>
  <c r="E105" i="3" s="1"/>
  <c r="E31" i="2"/>
  <c r="J19" i="3"/>
  <c r="J15" i="3"/>
  <c r="J9" i="3"/>
  <c r="J11" i="3"/>
  <c r="J14" i="3"/>
  <c r="C32" i="3"/>
  <c r="C43" i="3" s="1"/>
  <c r="C44" i="3" s="1"/>
  <c r="C31" i="3" s="1"/>
  <c r="J12" i="3"/>
  <c r="J8" i="3"/>
  <c r="J13" i="3"/>
  <c r="C42" i="3"/>
  <c r="J10" i="3"/>
  <c r="J16" i="3"/>
  <c r="C30" i="3"/>
  <c r="J17" i="3"/>
  <c r="J18" i="3"/>
  <c r="I17" i="3"/>
  <c r="B30" i="3"/>
  <c r="I14" i="3"/>
  <c r="I13" i="3"/>
  <c r="I8" i="3"/>
  <c r="I11" i="3"/>
  <c r="I18" i="3"/>
  <c r="I19" i="3"/>
  <c r="I16" i="3"/>
  <c r="I15" i="3"/>
  <c r="I12" i="3"/>
  <c r="C31" i="2"/>
  <c r="B42" i="3"/>
  <c r="I9" i="3"/>
  <c r="I10" i="3"/>
  <c r="B32" i="3"/>
  <c r="B43" i="3" s="1"/>
  <c r="B44" i="3" s="1"/>
  <c r="B31" i="3" s="1"/>
  <c r="W34" i="2"/>
  <c r="W32" i="2"/>
  <c r="BB9" i="2"/>
  <c r="AN10" i="2"/>
  <c r="AP18" i="2"/>
  <c r="AH20" i="3"/>
  <c r="AI8" i="3"/>
  <c r="AI20" i="3" s="1"/>
  <c r="Y31" i="2" s="1"/>
  <c r="M14" i="3" l="1"/>
  <c r="K14" i="3"/>
  <c r="O14" i="3" s="1"/>
  <c r="N13" i="3"/>
  <c r="AL13" i="3"/>
  <c r="M10" i="3"/>
  <c r="K10" i="3"/>
  <c r="O10" i="3" s="1"/>
  <c r="N14" i="3"/>
  <c r="AL14" i="3"/>
  <c r="W33" i="2"/>
  <c r="BB11" i="2" s="1"/>
  <c r="BB10" i="2"/>
  <c r="W35" i="2"/>
  <c r="I20" i="3"/>
  <c r="M8" i="3"/>
  <c r="K8" i="3"/>
  <c r="N8" i="3"/>
  <c r="AL8" i="3"/>
  <c r="AL20" i="3" s="1"/>
  <c r="J20" i="3"/>
  <c r="M11" i="3"/>
  <c r="K11" i="3"/>
  <c r="O11" i="3" s="1"/>
  <c r="M13" i="3"/>
  <c r="K13" i="3"/>
  <c r="O13" i="3" s="1"/>
  <c r="N12" i="3"/>
  <c r="AL12" i="3"/>
  <c r="M9" i="3"/>
  <c r="K9" i="3"/>
  <c r="O9" i="3" s="1"/>
  <c r="M17" i="3"/>
  <c r="K17" i="3"/>
  <c r="O17" i="3" s="1"/>
  <c r="C32" i="2"/>
  <c r="AD9" i="2"/>
  <c r="C34" i="2"/>
  <c r="N9" i="3"/>
  <c r="AL9" i="3"/>
  <c r="AL19" i="3"/>
  <c r="N19" i="3"/>
  <c r="N18" i="3"/>
  <c r="AL18" i="3"/>
  <c r="M16" i="3"/>
  <c r="K16" i="3"/>
  <c r="O16" i="3" s="1"/>
  <c r="N16" i="3"/>
  <c r="AL16" i="3"/>
  <c r="AF9" i="2"/>
  <c r="E32" i="2"/>
  <c r="E34" i="2"/>
  <c r="N11" i="3"/>
  <c r="AL11" i="3"/>
  <c r="BF9" i="2"/>
  <c r="BF10" i="2" s="1"/>
  <c r="BF11" i="2" s="1"/>
  <c r="Y32" i="2"/>
  <c r="Y33" i="2"/>
  <c r="AT31" i="2" s="1"/>
  <c r="M12" i="3"/>
  <c r="K12" i="3"/>
  <c r="O12" i="3" s="1"/>
  <c r="N17" i="3"/>
  <c r="AL17" i="3"/>
  <c r="N15" i="3"/>
  <c r="AL15" i="3"/>
  <c r="M15" i="3"/>
  <c r="K15" i="3"/>
  <c r="O15" i="3" s="1"/>
  <c r="AN11" i="2"/>
  <c r="AP19" i="2" s="1"/>
  <c r="M19" i="3"/>
  <c r="K19" i="3"/>
  <c r="O19" i="3" s="1"/>
  <c r="N10" i="3"/>
  <c r="AL10" i="3"/>
  <c r="J149" i="3"/>
  <c r="F177" i="3"/>
  <c r="J162" i="3"/>
  <c r="F132" i="3"/>
  <c r="J175" i="3"/>
  <c r="J129" i="3"/>
  <c r="F205" i="3"/>
  <c r="J189" i="3"/>
  <c r="F186" i="3"/>
  <c r="J182" i="3"/>
  <c r="J172" i="3"/>
  <c r="F147" i="3"/>
  <c r="J190" i="3"/>
  <c r="J131" i="3"/>
  <c r="J144" i="3"/>
  <c r="F224" i="3"/>
  <c r="F189" i="3"/>
  <c r="J203" i="3"/>
  <c r="J177" i="3"/>
  <c r="J207" i="3"/>
  <c r="F215" i="3"/>
  <c r="F153" i="3"/>
  <c r="F223" i="3"/>
  <c r="J161" i="3"/>
  <c r="F131" i="3"/>
  <c r="J174" i="3"/>
  <c r="F144" i="3"/>
  <c r="J187" i="3"/>
  <c r="F163" i="3"/>
  <c r="F217" i="3"/>
  <c r="J201" i="3"/>
  <c r="F198" i="3"/>
  <c r="J206" i="3"/>
  <c r="J196" i="3"/>
  <c r="F159" i="3"/>
  <c r="J202" i="3"/>
  <c r="J143" i="3"/>
  <c r="J168" i="3"/>
  <c r="J171" i="3"/>
  <c r="F139" i="3"/>
  <c r="F211" i="3"/>
  <c r="F190" i="3"/>
  <c r="J130" i="3"/>
  <c r="F222" i="3"/>
  <c r="F157" i="3"/>
  <c r="F184" i="3"/>
  <c r="F225" i="3"/>
  <c r="F130" i="3"/>
  <c r="J173" i="3"/>
  <c r="F143" i="3"/>
  <c r="J186" i="3"/>
  <c r="F156" i="3"/>
  <c r="J199" i="3"/>
  <c r="J170" i="3"/>
  <c r="F129" i="3"/>
  <c r="J213" i="3"/>
  <c r="F210" i="3"/>
  <c r="F152" i="3"/>
  <c r="J220" i="3"/>
  <c r="F171" i="3"/>
  <c r="J214" i="3"/>
  <c r="J155" i="3"/>
  <c r="J192" i="3"/>
  <c r="J195" i="3"/>
  <c r="J179" i="3"/>
  <c r="F142" i="3"/>
  <c r="J185" i="3"/>
  <c r="F155" i="3"/>
  <c r="J198" i="3"/>
  <c r="F168" i="3"/>
  <c r="J211" i="3"/>
  <c r="F164" i="3"/>
  <c r="J140" i="3"/>
  <c r="J225" i="3"/>
  <c r="J133" i="3"/>
  <c r="F200" i="3"/>
  <c r="F134" i="3"/>
  <c r="F183" i="3"/>
  <c r="J226" i="3"/>
  <c r="J167" i="3"/>
  <c r="J216" i="3"/>
  <c r="F141" i="3"/>
  <c r="J191" i="3"/>
  <c r="J136" i="3"/>
  <c r="F203" i="3"/>
  <c r="J217" i="3"/>
  <c r="J160" i="3"/>
  <c r="F228" i="3"/>
  <c r="F151" i="3"/>
  <c r="J194" i="3"/>
  <c r="F218" i="3"/>
  <c r="F154" i="3"/>
  <c r="J197" i="3"/>
  <c r="F167" i="3"/>
  <c r="J210" i="3"/>
  <c r="F180" i="3"/>
  <c r="J223" i="3"/>
  <c r="J159" i="3"/>
  <c r="J152" i="3"/>
  <c r="F149" i="3"/>
  <c r="J145" i="3"/>
  <c r="J135" i="3"/>
  <c r="F146" i="3"/>
  <c r="F195" i="3"/>
  <c r="F136" i="3"/>
  <c r="J134" i="3"/>
  <c r="F137" i="3"/>
  <c r="J188" i="3"/>
  <c r="F172" i="3"/>
  <c r="F202" i="3"/>
  <c r="J180" i="3"/>
  <c r="J227" i="3"/>
  <c r="J228" i="3"/>
  <c r="F140" i="3"/>
  <c r="F166" i="3"/>
  <c r="J209" i="3"/>
  <c r="F179" i="3"/>
  <c r="J222" i="3"/>
  <c r="F192" i="3"/>
  <c r="J153" i="3"/>
  <c r="J219" i="3"/>
  <c r="J164" i="3"/>
  <c r="F197" i="3"/>
  <c r="J169" i="3"/>
  <c r="J147" i="3"/>
  <c r="F158" i="3"/>
  <c r="F207" i="3"/>
  <c r="F148" i="3"/>
  <c r="F213" i="3"/>
  <c r="F162" i="3"/>
  <c r="J156" i="3"/>
  <c r="J215" i="3"/>
  <c r="F185" i="3"/>
  <c r="F194" i="3"/>
  <c r="F208" i="3"/>
  <c r="F178" i="3"/>
  <c r="J221" i="3"/>
  <c r="F191" i="3"/>
  <c r="J165" i="3"/>
  <c r="F204" i="3"/>
  <c r="F173" i="3"/>
  <c r="F133" i="3"/>
  <c r="J176" i="3"/>
  <c r="F221" i="3"/>
  <c r="J193" i="3"/>
  <c r="J183" i="3"/>
  <c r="F170" i="3"/>
  <c r="F219" i="3"/>
  <c r="F160" i="3"/>
  <c r="F216" i="3"/>
  <c r="F145" i="3"/>
  <c r="F182" i="3"/>
  <c r="J158" i="3"/>
  <c r="F150" i="3"/>
  <c r="J200" i="3"/>
  <c r="J142" i="3"/>
  <c r="J184" i="3"/>
  <c r="J224" i="3"/>
  <c r="F214" i="3"/>
  <c r="F174" i="3"/>
  <c r="F227" i="3"/>
  <c r="F175" i="3"/>
  <c r="J139" i="3"/>
  <c r="J157" i="3"/>
  <c r="F169" i="3"/>
  <c r="J212" i="3"/>
  <c r="J204" i="3"/>
  <c r="F199" i="3"/>
  <c r="F201" i="3"/>
  <c r="F206" i="3"/>
  <c r="J154" i="3"/>
  <c r="F196" i="3"/>
  <c r="F161" i="3"/>
  <c r="J218" i="3"/>
  <c r="J208" i="3"/>
  <c r="F188" i="3"/>
  <c r="J166" i="3"/>
  <c r="F226" i="3"/>
  <c r="F187" i="3"/>
  <c r="J138" i="3"/>
  <c r="J151" i="3"/>
  <c r="J181" i="3"/>
  <c r="F181" i="3"/>
  <c r="F209" i="3"/>
  <c r="J137" i="3"/>
  <c r="F176" i="3"/>
  <c r="J150" i="3"/>
  <c r="F165" i="3"/>
  <c r="J163" i="3"/>
  <c r="J205" i="3"/>
  <c r="F193" i="3"/>
  <c r="J141" i="3"/>
  <c r="F138" i="3"/>
  <c r="J146" i="3"/>
  <c r="J148" i="3"/>
  <c r="F135" i="3"/>
  <c r="J178" i="3"/>
  <c r="F220" i="3"/>
  <c r="J132" i="3"/>
  <c r="F212" i="3"/>
  <c r="M18" i="3"/>
  <c r="K18" i="3"/>
  <c r="O18" i="3" s="1"/>
  <c r="AT35" i="2" l="1"/>
  <c r="N20" i="3"/>
  <c r="S31" i="2" s="1"/>
  <c r="C33" i="2"/>
  <c r="C35" i="2"/>
  <c r="AD10" i="2"/>
  <c r="AD12" i="2" s="1"/>
  <c r="D26" i="7"/>
  <c r="H125" i="3"/>
  <c r="E35" i="2"/>
  <c r="AF10" i="2"/>
  <c r="AF12" i="2" s="1"/>
  <c r="E33" i="2"/>
  <c r="AF11" i="2" s="1"/>
  <c r="O8" i="3"/>
  <c r="O20" i="3" s="1"/>
  <c r="U31" i="2" s="1"/>
  <c r="K20" i="3"/>
  <c r="D29" i="3" s="1"/>
  <c r="BH9" i="2"/>
  <c r="BH10" i="2" s="1"/>
  <c r="AP31" i="2" s="1"/>
  <c r="M20" i="3"/>
  <c r="Q31" i="2" s="1"/>
  <c r="AL20" i="2" l="1"/>
  <c r="V33" i="2"/>
  <c r="X33" i="2"/>
  <c r="R33" i="2"/>
  <c r="AD11" i="2"/>
  <c r="T33" i="2"/>
  <c r="AZ9" i="2"/>
  <c r="U32" i="2"/>
  <c r="U34" i="2"/>
  <c r="Q32" i="2"/>
  <c r="Q34" i="2"/>
  <c r="AV9" i="2"/>
  <c r="AA31" i="2"/>
  <c r="AA32" i="2" s="1"/>
  <c r="S34" i="2"/>
  <c r="AX9" i="2"/>
  <c r="S32" i="2"/>
  <c r="BH11" i="2"/>
  <c r="AP35" i="2"/>
  <c r="G31" i="2"/>
  <c r="D42" i="3"/>
  <c r="D32" i="3"/>
  <c r="D43" i="3" s="1"/>
  <c r="D30" i="3"/>
  <c r="E29" i="3"/>
  <c r="E32" i="3" l="1"/>
  <c r="E43" i="3" s="1"/>
  <c r="E30" i="3"/>
  <c r="E42" i="3"/>
  <c r="I31" i="2"/>
  <c r="S33" i="2"/>
  <c r="AX11" i="2" s="1"/>
  <c r="AX10" i="2"/>
  <c r="AH34" i="2" s="1"/>
  <c r="S35" i="2"/>
  <c r="Q33" i="2"/>
  <c r="Q35" i="2"/>
  <c r="AV10" i="2"/>
  <c r="AJ33" i="2" s="1"/>
  <c r="AN33" i="2" s="1"/>
  <c r="AR33" i="2" s="1"/>
  <c r="AZ33" i="2" s="1"/>
  <c r="BF33" i="2" s="1"/>
  <c r="C48" i="3"/>
  <c r="D44" i="3"/>
  <c r="U33" i="2"/>
  <c r="AZ11" i="2" s="1"/>
  <c r="AZ10" i="2"/>
  <c r="U35" i="2"/>
  <c r="G32" i="2"/>
  <c r="G34" i="2"/>
  <c r="AH9" i="2"/>
  <c r="C49" i="3" l="1"/>
  <c r="D31" i="3"/>
  <c r="G33" i="2"/>
  <c r="G35" i="2"/>
  <c r="AH10" i="2"/>
  <c r="AV11" i="2"/>
  <c r="AA33" i="2"/>
  <c r="AX20" i="2" s="1"/>
  <c r="AN34" i="2"/>
  <c r="AR34" i="2" s="1"/>
  <c r="AZ34" i="2" s="1"/>
  <c r="BF34" i="2" s="1"/>
  <c r="AH35" i="2"/>
  <c r="I34" i="2"/>
  <c r="I32" i="2"/>
  <c r="AJ9" i="2"/>
  <c r="E31" i="3"/>
  <c r="T48" i="3"/>
  <c r="E44" i="3"/>
  <c r="T49" i="3" s="1"/>
  <c r="AH11" i="2" l="1"/>
  <c r="AF19" i="2" s="1"/>
  <c r="I33" i="2"/>
  <c r="AJ11" i="2" s="1"/>
  <c r="AL19" i="2" s="1"/>
  <c r="AJ10" i="2"/>
  <c r="I35" i="2"/>
  <c r="AJ31" i="2"/>
  <c r="AJ35" i="2" s="1"/>
  <c r="AH12" i="2"/>
  <c r="AF20" i="2" s="1"/>
  <c r="AF18" i="2"/>
  <c r="M33" i="2" l="1"/>
  <c r="AT20" i="2" s="1"/>
  <c r="BB20" i="2" s="1"/>
  <c r="AL31" i="2"/>
  <c r="AL18" i="2"/>
  <c r="AL35" i="2" l="1"/>
  <c r="AN31" i="2"/>
  <c r="AN35" i="2" l="1"/>
  <c r="AR31" i="2"/>
  <c r="AR35" i="2" l="1"/>
  <c r="AZ31" i="2"/>
  <c r="AZ35" i="2" l="1"/>
  <c r="BF35" i="2" s="1"/>
  <c r="BF3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<sst xmlns="http://schemas.openxmlformats.org/spreadsheetml/2006/main" count="963" uniqueCount="507">
  <si>
    <t>kW</t>
  </si>
  <si>
    <t>Cost</t>
  </si>
  <si>
    <t>MMBtu</t>
  </si>
  <si>
    <t>kWh</t>
  </si>
  <si>
    <t>kBtu</t>
  </si>
  <si>
    <t>NG Other</t>
  </si>
  <si>
    <t>Heat</t>
  </si>
  <si>
    <t>Elec Heat</t>
  </si>
  <si>
    <t>Cool</t>
  </si>
  <si>
    <t>Lights</t>
  </si>
  <si>
    <t>Misc.</t>
  </si>
  <si>
    <t>Natural Gas</t>
  </si>
  <si>
    <t>Electrical</t>
  </si>
  <si>
    <t>Est. AC Load (Tons)</t>
  </si>
  <si>
    <t>Sq.Ft</t>
  </si>
  <si>
    <t>Gas Acct #</t>
  </si>
  <si>
    <t>ESID#</t>
  </si>
  <si>
    <t>Energy Star EUI Threshold</t>
  </si>
  <si>
    <t>Totals</t>
  </si>
  <si>
    <t>W/Sf</t>
  </si>
  <si>
    <t>Source EUI</t>
  </si>
  <si>
    <t>Lighting Retrofit</t>
  </si>
  <si>
    <t>Continuious Commissioning</t>
  </si>
  <si>
    <t>Chiller Upgrades</t>
  </si>
  <si>
    <t>EUI</t>
  </si>
  <si>
    <t>Eneterprise Control</t>
  </si>
  <si>
    <t>Waste Water</t>
  </si>
  <si>
    <t>TOTAL SITE</t>
  </si>
  <si>
    <t>NAT GAS</t>
  </si>
  <si>
    <t>ELEC HEAT</t>
  </si>
  <si>
    <t>COOLING</t>
  </si>
  <si>
    <t>LIGHTS</t>
  </si>
  <si>
    <t>ELEC. MISC</t>
  </si>
  <si>
    <t>Power Factor Correction</t>
  </si>
  <si>
    <t>Total</t>
  </si>
  <si>
    <t>Water</t>
  </si>
  <si>
    <t>Nat Gas</t>
  </si>
  <si>
    <t>Electricity</t>
  </si>
  <si>
    <t>El. Heat</t>
  </si>
  <si>
    <t>Cooling</t>
  </si>
  <si>
    <t>ECM</t>
  </si>
  <si>
    <t>PAYBACK</t>
  </si>
  <si>
    <t>PROJECT COST</t>
  </si>
  <si>
    <t>Annual Energy Cost Savings</t>
  </si>
  <si>
    <t>(MMBtu)</t>
  </si>
  <si>
    <t xml:space="preserve">Energy Savings (kWh)                       </t>
  </si>
  <si>
    <t>ECONOMIC ANALYSIS:</t>
  </si>
  <si>
    <t>COP</t>
  </si>
  <si>
    <t>OA%</t>
  </si>
  <si>
    <t>LF</t>
  </si>
  <si>
    <t>SF/T</t>
  </si>
  <si>
    <t>Tons</t>
  </si>
  <si>
    <t>Total Ton*Hr</t>
  </si>
  <si>
    <t>Non Cool Coinc. kW</t>
  </si>
  <si>
    <t>Cooling Only KW</t>
  </si>
  <si>
    <t>Savings</t>
  </si>
  <si>
    <t>Future</t>
  </si>
  <si>
    <t>Present</t>
  </si>
  <si>
    <t>Nat Gas Cost</t>
  </si>
  <si>
    <t>Non-Cooling Electrical Cost</t>
  </si>
  <si>
    <t>Cooling Electrical Cost</t>
  </si>
  <si>
    <t>Energy Cost</t>
  </si>
  <si>
    <t>Total MMBtu</t>
  </si>
  <si>
    <t>Non Cooling kWh</t>
  </si>
  <si>
    <t>Cooling kWh</t>
  </si>
  <si>
    <t>FUTURE ENERGY</t>
  </si>
  <si>
    <t>CURRENT ENERGY</t>
  </si>
  <si>
    <t>Annual Site Energy Consumption (kBtu's)</t>
  </si>
  <si>
    <t xml:space="preserve">Nat Gas Cost/MMBtu </t>
  </si>
  <si>
    <t>Electrical Cost/kWh</t>
  </si>
  <si>
    <t>ELECTRICAL MISC</t>
  </si>
  <si>
    <r>
      <rPr>
        <sz val="10"/>
        <rFont val="Times New Roman"/>
        <family val="1"/>
      </rPr>
      <t>TOTAL</t>
    </r>
  </si>
  <si>
    <r>
      <rPr>
        <sz val="10"/>
        <rFont val="Times New Roman"/>
        <family val="1"/>
      </rPr>
      <t>December</t>
    </r>
  </si>
  <si>
    <r>
      <rPr>
        <sz val="10"/>
        <rFont val="Times New Roman"/>
        <family val="1"/>
      </rPr>
      <t>November</t>
    </r>
  </si>
  <si>
    <r>
      <rPr>
        <sz val="10"/>
        <rFont val="Times New Roman"/>
        <family val="1"/>
      </rPr>
      <t>October</t>
    </r>
  </si>
  <si>
    <r>
      <rPr>
        <sz val="10"/>
        <rFont val="Times New Roman"/>
        <family val="1"/>
      </rPr>
      <t>September</t>
    </r>
  </si>
  <si>
    <r>
      <rPr>
        <sz val="10"/>
        <rFont val="Times New Roman"/>
        <family val="1"/>
      </rPr>
      <t>August</t>
    </r>
  </si>
  <si>
    <r>
      <rPr>
        <sz val="10"/>
        <rFont val="Times New Roman"/>
        <family val="1"/>
      </rPr>
      <t>July</t>
    </r>
  </si>
  <si>
    <r>
      <rPr>
        <sz val="10"/>
        <rFont val="Times New Roman"/>
        <family val="1"/>
      </rPr>
      <t>June</t>
    </r>
  </si>
  <si>
    <r>
      <rPr>
        <sz val="10"/>
        <rFont val="Times New Roman"/>
        <family val="1"/>
      </rPr>
      <t>May</t>
    </r>
  </si>
  <si>
    <r>
      <rPr>
        <sz val="10"/>
        <rFont val="Times New Roman"/>
        <family val="1"/>
      </rPr>
      <t>April</t>
    </r>
  </si>
  <si>
    <r>
      <rPr>
        <sz val="10"/>
        <rFont val="Times New Roman"/>
        <family val="1"/>
      </rPr>
      <t>March</t>
    </r>
  </si>
  <si>
    <r>
      <rPr>
        <sz val="10"/>
        <rFont val="Times New Roman"/>
        <family val="1"/>
      </rPr>
      <t>February</t>
    </r>
  </si>
  <si>
    <r>
      <rPr>
        <sz val="10"/>
        <rFont val="Times New Roman"/>
        <family val="1"/>
      </rPr>
      <t>January</t>
    </r>
  </si>
  <si>
    <r>
      <rPr>
        <sz val="10"/>
        <rFont val="Times New Roman"/>
        <family val="1"/>
      </rPr>
      <t>COSTS ($)</t>
    </r>
  </si>
  <si>
    <t>RATE ($/KW)</t>
  </si>
  <si>
    <t>DEMAND ($/KW)*</t>
  </si>
  <si>
    <t>CHARGED ($/KW)*</t>
  </si>
  <si>
    <r>
      <rPr>
        <sz val="10"/>
        <rFont val="Times New Roman"/>
        <family val="1"/>
      </rPr>
      <t>KW*</t>
    </r>
  </si>
  <si>
    <r>
      <rPr>
        <sz val="10"/>
        <rFont val="Times New Roman"/>
        <family val="1"/>
      </rPr>
      <t>KWH</t>
    </r>
  </si>
  <si>
    <r>
      <rPr>
        <sz val="10"/>
        <rFont val="Times New Roman"/>
        <family val="1"/>
      </rPr>
      <t>YEAR</t>
    </r>
  </si>
  <si>
    <r>
      <rPr>
        <sz val="10"/>
        <rFont val="Times New Roman"/>
        <family val="1"/>
      </rPr>
      <t>MONTH</t>
    </r>
  </si>
  <si>
    <r>
      <rPr>
        <sz val="10"/>
        <rFont val="Times New Roman"/>
        <family val="1"/>
      </rPr>
      <t>CONSUMPTION</t>
    </r>
  </si>
  <si>
    <r>
      <rPr>
        <sz val="10"/>
        <rFont val="Times New Roman"/>
        <family val="1"/>
      </rPr>
      <t>ELECTRIC</t>
    </r>
  </si>
  <si>
    <r>
      <rPr>
        <sz val="10"/>
        <rFont val="Times New Roman"/>
        <family val="1"/>
      </rPr>
      <t>CHARGED</t>
    </r>
  </si>
  <si>
    <r>
      <rPr>
        <sz val="10"/>
        <rFont val="Times New Roman"/>
        <family val="1"/>
      </rPr>
      <t>METERED</t>
    </r>
  </si>
  <si>
    <r>
      <rPr>
        <sz val="10"/>
        <rFont val="Times New Roman"/>
        <family val="1"/>
      </rPr>
      <t>NG</t>
    </r>
  </si>
  <si>
    <r>
      <rPr>
        <sz val="10"/>
        <rFont val="Times New Roman"/>
        <family val="1"/>
      </rPr>
      <t>TOTAL ALL</t>
    </r>
  </si>
  <si>
    <r>
      <rPr>
        <sz val="10"/>
        <rFont val="Times New Roman"/>
        <family val="1"/>
      </rPr>
      <t>DEMAND</t>
    </r>
  </si>
  <si>
    <r>
      <rPr>
        <sz val="10"/>
        <rFont val="Times New Roman"/>
        <family val="1"/>
      </rPr>
      <t>NATURAL GAS / FUEL</t>
    </r>
  </si>
  <si>
    <t>Estimated</t>
  </si>
  <si>
    <t> 313,700          </t>
  </si>
  <si>
    <t>FLOOR AREA (SF)          </t>
  </si>
  <si>
    <r>
      <t xml:space="preserve">FACILITY: </t>
    </r>
    <r>
      <rPr>
        <u/>
        <sz val="10"/>
        <rFont val="Times New Roman"/>
        <family val="1"/>
      </rPr>
      <t>                                                     </t>
    </r>
    <r>
      <rPr>
        <sz val="10"/>
        <rFont val="Times New Roman"/>
        <family val="1"/>
      </rPr>
      <t xml:space="preserve">                       </t>
    </r>
  </si>
  <si>
    <t>San Benito CISD     </t>
  </si>
  <si>
    <r>
      <rPr>
        <sz val="10"/>
        <rFont val="Times New Roman"/>
        <family val="1"/>
      </rPr>
      <t xml:space="preserve">Entity </t>
    </r>
    <r>
      <rPr>
        <u/>
        <sz val="10"/>
        <rFont val="Times New Roman"/>
        <family val="1"/>
      </rPr>
      <t> </t>
    </r>
  </si>
  <si>
    <t>HEADQUARTERS</t>
  </si>
  <si>
    <t>SOURCE EUI</t>
  </si>
  <si>
    <t>SOURCE ENERGY</t>
  </si>
  <si>
    <t>Operational Hours</t>
  </si>
  <si>
    <t>H</t>
  </si>
  <si>
    <t>Days</t>
  </si>
  <si>
    <t>Therms</t>
  </si>
  <si>
    <t>Predicted EUI Calculation</t>
  </si>
  <si>
    <r>
      <rPr>
        <b/>
        <sz val="12"/>
        <color rgb="FFFFFFFF"/>
        <rFont val="Arial Narrow"/>
        <family val="2"/>
      </rPr>
      <t>Variable</t>
    </r>
  </si>
  <si>
    <r>
      <rPr>
        <b/>
        <sz val="12"/>
        <color rgb="FFFFFFFF"/>
        <rFont val="Arial Narrow"/>
        <family val="2"/>
      </rPr>
      <t>Mean</t>
    </r>
  </si>
  <si>
    <r>
      <rPr>
        <b/>
        <sz val="12"/>
        <color rgb="FFFFFFFF"/>
        <rFont val="Arial Narrow"/>
        <family val="2"/>
      </rPr>
      <t>Minimum</t>
    </r>
  </si>
  <si>
    <r>
      <rPr>
        <b/>
        <sz val="12"/>
        <color rgb="FFFFFFFF"/>
        <rFont val="Arial Narrow"/>
        <family val="2"/>
      </rPr>
      <t>Maximum</t>
    </r>
  </si>
  <si>
    <r>
      <rPr>
        <sz val="11"/>
        <color rgb="FF585858"/>
        <rFont val="Arial Narrow"/>
        <family val="2"/>
      </rPr>
      <t>Source EUI (kBtu/ft</t>
    </r>
    <r>
      <rPr>
        <vertAlign val="superscript"/>
        <sz val="7"/>
        <color rgb="FF585858"/>
        <rFont val="Arial Narrow"/>
        <family val="2"/>
      </rPr>
      <t>2</t>
    </r>
    <r>
      <rPr>
        <sz val="11"/>
        <color rgb="FF585858"/>
        <rFont val="Arial Narrow"/>
        <family val="2"/>
      </rPr>
      <t>)</t>
    </r>
  </si>
  <si>
    <r>
      <rPr>
        <sz val="11"/>
        <color rgb="FF585858"/>
        <rFont val="Arial Narrow"/>
        <family val="2"/>
      </rPr>
      <t>Number of Workers per 1,000 ft</t>
    </r>
    <r>
      <rPr>
        <vertAlign val="superscript"/>
        <sz val="7"/>
        <color rgb="FF585858"/>
        <rFont val="Arial Narrow"/>
        <family val="2"/>
      </rPr>
      <t>2</t>
    </r>
  </si>
  <si>
    <r>
      <rPr>
        <sz val="11"/>
        <color rgb="FF585858"/>
        <rFont val="Arial Narrow"/>
        <family val="2"/>
      </rPr>
      <t>Percent Heated x Heating Degree Days</t>
    </r>
  </si>
  <si>
    <r>
      <rPr>
        <sz val="11"/>
        <color rgb="FF585858"/>
        <rFont val="Arial Narrow"/>
        <family val="2"/>
      </rPr>
      <t>Percent Cooled x Cooling Degree Days</t>
    </r>
  </si>
  <si>
    <r>
      <rPr>
        <sz val="11"/>
        <color rgb="FF585858"/>
        <rFont val="Arial Narrow"/>
        <family val="2"/>
      </rPr>
      <t>Cooking (yes/no)</t>
    </r>
  </si>
  <si>
    <r>
      <rPr>
        <sz val="11"/>
        <color rgb="FF585858"/>
        <rFont val="Arial Narrow"/>
        <family val="2"/>
      </rPr>
      <t>Open Weekends (yes/no)</t>
    </r>
  </si>
  <si>
    <r>
      <rPr>
        <sz val="11"/>
        <color rgb="FF585858"/>
        <rFont val="Arial Narrow"/>
        <family val="2"/>
      </rPr>
      <t>High School (yes/no)</t>
    </r>
  </si>
  <si>
    <r>
      <rPr>
        <sz val="11"/>
        <color rgb="FF585858"/>
        <rFont val="Arial Narrow"/>
        <family val="2"/>
      </rPr>
      <t>Dependent Variable</t>
    </r>
  </si>
  <si>
    <r>
      <rPr>
        <sz val="11"/>
        <color rgb="FF585858"/>
        <rFont val="Arial Narrow"/>
        <family val="2"/>
      </rPr>
      <t>Source Energy Intensity (kBtu/ft</t>
    </r>
    <r>
      <rPr>
        <vertAlign val="superscript"/>
        <sz val="7"/>
        <color rgb="FF585858"/>
        <rFont val="Arial Narrow"/>
        <family val="2"/>
      </rPr>
      <t>2</t>
    </r>
    <r>
      <rPr>
        <sz val="11"/>
        <color rgb="FF585858"/>
        <rFont val="Arial Narrow"/>
        <family val="2"/>
      </rPr>
      <t>)</t>
    </r>
  </si>
  <si>
    <r>
      <rPr>
        <sz val="11"/>
        <color rgb="FF585858"/>
        <rFont val="Arial Narrow"/>
        <family val="2"/>
      </rPr>
      <t>Number of Observations in Analysis</t>
    </r>
  </si>
  <si>
    <r>
      <rPr>
        <sz val="11"/>
        <color rgb="FF585858"/>
        <rFont val="Arial Narrow"/>
        <family val="2"/>
      </rPr>
      <t>R</t>
    </r>
    <r>
      <rPr>
        <vertAlign val="superscript"/>
        <sz val="7"/>
        <color rgb="FF585858"/>
        <rFont val="Arial Narrow"/>
        <family val="2"/>
      </rPr>
      <t xml:space="preserve">2  </t>
    </r>
    <r>
      <rPr>
        <sz val="11"/>
        <color rgb="FF585858"/>
        <rFont val="Arial Narrow"/>
        <family val="2"/>
      </rPr>
      <t>value</t>
    </r>
  </si>
  <si>
    <r>
      <rPr>
        <sz val="11"/>
        <color rgb="FF585858"/>
        <rFont val="Arial Narrow"/>
        <family val="2"/>
      </rPr>
      <t>Adjusted R</t>
    </r>
    <r>
      <rPr>
        <vertAlign val="superscript"/>
        <sz val="7"/>
        <color rgb="FF585858"/>
        <rFont val="Arial Narrow"/>
        <family val="2"/>
      </rPr>
      <t xml:space="preserve">2  </t>
    </r>
    <r>
      <rPr>
        <sz val="11"/>
        <color rgb="FF585858"/>
        <rFont val="Arial Narrow"/>
        <family val="2"/>
      </rPr>
      <t>value</t>
    </r>
  </si>
  <si>
    <r>
      <rPr>
        <sz val="11"/>
        <color rgb="FF585858"/>
        <rFont val="Arial Narrow"/>
        <family val="2"/>
      </rPr>
      <t>F Statistic</t>
    </r>
  </si>
  <si>
    <r>
      <rPr>
        <sz val="11"/>
        <color rgb="FF585858"/>
        <rFont val="Arial Narrow"/>
        <family val="2"/>
      </rPr>
      <t>Significance (p-level)</t>
    </r>
  </si>
  <si>
    <r>
      <rPr>
        <sz val="11"/>
        <color rgb="FF585858"/>
        <rFont val="Arial Narrow"/>
        <family val="2"/>
      </rPr>
      <t>&lt; 0.0001</t>
    </r>
  </si>
  <si>
    <r>
      <rPr>
        <b/>
        <sz val="11"/>
        <color rgb="FFFFFFFF"/>
        <rFont val="Arial Narrow"/>
        <family val="2"/>
      </rPr>
      <t>Unstandardized Coefficients</t>
    </r>
  </si>
  <si>
    <r>
      <rPr>
        <b/>
        <sz val="11"/>
        <color rgb="FFFFFFFF"/>
        <rFont val="Arial Narrow"/>
        <family val="2"/>
      </rPr>
      <t>Standard Error</t>
    </r>
  </si>
  <si>
    <r>
      <rPr>
        <b/>
        <sz val="11"/>
        <color rgb="FFFFFFFF"/>
        <rFont val="Arial Narrow"/>
        <family val="2"/>
      </rPr>
      <t>T value</t>
    </r>
  </si>
  <si>
    <r>
      <rPr>
        <b/>
        <sz val="11"/>
        <color rgb="FFFFFFFF"/>
        <rFont val="Arial Narrow"/>
        <family val="2"/>
      </rPr>
      <t>Significance (p-level)</t>
    </r>
  </si>
  <si>
    <r>
      <rPr>
        <sz val="11"/>
        <color rgb="FF585858"/>
        <rFont val="Arial Narrow"/>
        <family val="2"/>
      </rPr>
      <t>Constant</t>
    </r>
  </si>
  <si>
    <r>
      <rPr>
        <sz val="11"/>
        <color rgb="FF585858"/>
        <rFont val="Arial Narrow"/>
        <family val="2"/>
      </rPr>
      <t>&lt;0.0001</t>
    </r>
  </si>
  <si>
    <r>
      <rPr>
        <sz val="11"/>
        <color rgb="FF585858"/>
        <rFont val="Arial Narrow"/>
        <family val="2"/>
      </rPr>
      <t>C_Number of Workers per 1,000 ft</t>
    </r>
    <r>
      <rPr>
        <vertAlign val="superscript"/>
        <sz val="7"/>
        <color rgb="FF585858"/>
        <rFont val="Arial Narrow"/>
        <family val="2"/>
      </rPr>
      <t>2</t>
    </r>
  </si>
  <si>
    <r>
      <rPr>
        <sz val="11"/>
        <color rgb="FF585858"/>
        <rFont val="Arial Narrow"/>
        <family val="2"/>
      </rPr>
      <t>C_Percent Heated x Heating Degree Days</t>
    </r>
  </si>
  <si>
    <r>
      <rPr>
        <sz val="11"/>
        <color rgb="FF585858"/>
        <rFont val="Arial Narrow"/>
        <family val="2"/>
      </rPr>
      <t>C_Percent Cooled x Cooling Degree Days</t>
    </r>
  </si>
  <si>
    <r>
      <rPr>
        <sz val="11"/>
        <color rgb="FF585858"/>
        <rFont val="Arial Narrow"/>
        <family val="2"/>
      </rPr>
      <t>Cooking</t>
    </r>
  </si>
  <si>
    <r>
      <rPr>
        <sz val="11"/>
        <color rgb="FF585858"/>
        <rFont val="Arial Narrow"/>
        <family val="2"/>
      </rPr>
      <t>Open Weekends</t>
    </r>
  </si>
  <si>
    <r>
      <rPr>
        <sz val="11"/>
        <color rgb="FF585858"/>
        <rFont val="Arial Narrow"/>
        <family val="2"/>
      </rPr>
      <t>High School</t>
    </r>
  </si>
  <si>
    <t xml:space="preserve"> Summary                                                                             </t>
  </si>
  <si>
    <r>
      <rPr>
        <b/>
        <sz val="10"/>
        <color rgb="FFFFFFFF"/>
        <rFont val="Arial Narrow"/>
        <family val="2"/>
      </rPr>
      <t>Variable</t>
    </r>
  </si>
  <si>
    <r>
      <rPr>
        <b/>
        <sz val="10"/>
        <color rgb="FFFFFFFF"/>
        <rFont val="Arial Narrow"/>
        <family val="2"/>
      </rPr>
      <t>Actual Building Value</t>
    </r>
  </si>
  <si>
    <r>
      <rPr>
        <b/>
        <sz val="10"/>
        <color rgb="FFFFFFFF"/>
        <rFont val="Arial Narrow"/>
        <family val="2"/>
      </rPr>
      <t>Reference Centering Value</t>
    </r>
  </si>
  <si>
    <r>
      <rPr>
        <b/>
        <sz val="10"/>
        <color rgb="FFFFFFFF"/>
        <rFont val="Arial Narrow"/>
        <family val="2"/>
      </rPr>
      <t>Building Centered Variable</t>
    </r>
  </si>
  <si>
    <r>
      <rPr>
        <b/>
        <sz val="10"/>
        <color rgb="FFFFFFFF"/>
        <rFont val="Arial Narrow"/>
        <family val="2"/>
      </rPr>
      <t>Coefficient</t>
    </r>
  </si>
  <si>
    <r>
      <rPr>
        <b/>
        <sz val="10"/>
        <color rgb="FFFFFFFF"/>
        <rFont val="Arial Narrow"/>
        <family val="2"/>
      </rPr>
      <t>Coefficient * Centered Variable</t>
    </r>
  </si>
  <si>
    <r>
      <rPr>
        <sz val="10"/>
        <color rgb="FF585858"/>
        <rFont val="Arial Narrow"/>
        <family val="2"/>
      </rPr>
      <t>Constant</t>
    </r>
  </si>
  <si>
    <r>
      <rPr>
        <sz val="10"/>
        <color rgb="FF585858"/>
        <rFont val="Arial Narrow"/>
        <family val="2"/>
      </rPr>
      <t>--</t>
    </r>
  </si>
  <si>
    <r>
      <rPr>
        <sz val="10"/>
        <color rgb="FF585858"/>
        <rFont val="Arial Narrow"/>
        <family val="2"/>
      </rPr>
      <t>Number of Workers per 1,000 ft</t>
    </r>
    <r>
      <rPr>
        <vertAlign val="superscript"/>
        <sz val="7"/>
        <color rgb="FF585858"/>
        <rFont val="Arial Narrow"/>
        <family val="2"/>
      </rPr>
      <t>2</t>
    </r>
  </si>
  <si>
    <r>
      <rPr>
        <sz val="10"/>
        <color rgb="FF585858"/>
        <rFont val="Arial Narrow"/>
        <family val="2"/>
      </rPr>
      <t>Percent Heated x HDD</t>
    </r>
  </si>
  <si>
    <r>
      <rPr>
        <sz val="10"/>
        <color rgb="FF585858"/>
        <rFont val="Arial Narrow"/>
        <family val="2"/>
      </rPr>
      <t>Percent Cooled x CDD</t>
    </r>
  </si>
  <si>
    <r>
      <rPr>
        <sz val="10"/>
        <color rgb="FF585858"/>
        <rFont val="Arial Narrow"/>
        <family val="2"/>
      </rPr>
      <t>Presence of Cooking (yes/no)</t>
    </r>
  </si>
  <si>
    <r>
      <rPr>
        <sz val="10"/>
        <color rgb="FF585858"/>
        <rFont val="Arial Narrow"/>
        <family val="2"/>
      </rPr>
      <t>Open Weekends (yes/no)</t>
    </r>
  </si>
  <si>
    <r>
      <rPr>
        <sz val="10"/>
        <color rgb="FF585858"/>
        <rFont val="Arial Narrow"/>
        <family val="2"/>
      </rPr>
      <t>High School (yes/no)</t>
    </r>
  </si>
  <si>
    <r>
      <rPr>
        <b/>
        <i/>
        <sz val="11"/>
        <color rgb="FF585858"/>
        <rFont val="Arial Narrow"/>
        <family val="2"/>
      </rPr>
      <t>Computing Predicted Source EUI</t>
    </r>
    <r>
      <rPr>
        <b/>
        <i/>
        <sz val="11"/>
        <rFont val="Arial Narrow"/>
        <family val="2"/>
      </rPr>
      <t>(Sample)</t>
    </r>
  </si>
  <si>
    <t>Computing Predicted Source EUI</t>
  </si>
  <si>
    <r>
      <rPr>
        <b/>
        <sz val="10"/>
        <color rgb="FFFFFFFF"/>
        <rFont val="Arial Narrow"/>
        <family val="2"/>
      </rPr>
      <t>Energy Data</t>
    </r>
  </si>
  <si>
    <r>
      <rPr>
        <b/>
        <sz val="10"/>
        <color rgb="FFFFFFFF"/>
        <rFont val="Arial Narrow"/>
        <family val="2"/>
      </rPr>
      <t>Value</t>
    </r>
  </si>
  <si>
    <r>
      <rPr>
        <sz val="10"/>
        <color rgb="FF585858"/>
        <rFont val="Arial Narrow"/>
        <family val="2"/>
      </rPr>
      <t>Electricity</t>
    </r>
  </si>
  <si>
    <r>
      <rPr>
        <sz val="10"/>
        <color rgb="FF585858"/>
        <rFont val="Arial Narrow"/>
        <family val="2"/>
      </rPr>
      <t>700,000 kWh</t>
    </r>
  </si>
  <si>
    <r>
      <rPr>
        <sz val="10"/>
        <color rgb="FF585858"/>
        <rFont val="Arial Narrow"/>
        <family val="2"/>
      </rPr>
      <t>Natural gas</t>
    </r>
  </si>
  <si>
    <r>
      <rPr>
        <sz val="10"/>
        <color rgb="FF585858"/>
        <rFont val="Arial Narrow"/>
        <family val="2"/>
      </rPr>
      <t>20,000 therms</t>
    </r>
  </si>
  <si>
    <r>
      <rPr>
        <b/>
        <sz val="10"/>
        <color rgb="FFFFFFFF"/>
        <rFont val="Arial Narrow"/>
        <family val="2"/>
      </rPr>
      <t>Property Use Details</t>
    </r>
  </si>
  <si>
    <r>
      <rPr>
        <sz val="10"/>
        <color rgb="FF585858"/>
        <rFont val="Arial Narrow"/>
        <family val="2"/>
      </rPr>
      <t>Gross floor area (ft</t>
    </r>
    <r>
      <rPr>
        <vertAlign val="superscript"/>
        <sz val="7"/>
        <color rgb="FF585858"/>
        <rFont val="Arial Narrow"/>
        <family val="2"/>
      </rPr>
      <t>2</t>
    </r>
    <r>
      <rPr>
        <sz val="10"/>
        <color rgb="FF585858"/>
        <rFont val="Arial Narrow"/>
        <family val="2"/>
      </rPr>
      <t>)</t>
    </r>
  </si>
  <si>
    <r>
      <rPr>
        <sz val="10"/>
        <color rgb="FF585858"/>
        <rFont val="Arial Narrow"/>
        <family val="2"/>
      </rPr>
      <t>High School</t>
    </r>
  </si>
  <si>
    <r>
      <rPr>
        <sz val="10"/>
        <color rgb="FF585858"/>
        <rFont val="Arial Narrow"/>
        <family val="2"/>
      </rPr>
      <t>1 (Yes)</t>
    </r>
  </si>
  <si>
    <r>
      <rPr>
        <sz val="10"/>
        <color rgb="FF585858"/>
        <rFont val="Arial Narrow"/>
        <family val="2"/>
      </rPr>
      <t>Open weekends</t>
    </r>
  </si>
  <si>
    <r>
      <rPr>
        <sz val="10"/>
        <color rgb="FF585858"/>
        <rFont val="Arial Narrow"/>
        <family val="2"/>
      </rPr>
      <t>Number of workers</t>
    </r>
  </si>
  <si>
    <r>
      <rPr>
        <sz val="10"/>
        <color rgb="FF585858"/>
        <rFont val="Arial Narrow"/>
        <family val="2"/>
      </rPr>
      <t>Presence of cooking</t>
    </r>
  </si>
  <si>
    <r>
      <rPr>
        <sz val="10"/>
        <color rgb="FF585858"/>
        <rFont val="Arial Narrow"/>
        <family val="2"/>
      </rPr>
      <t>0 (No)</t>
    </r>
  </si>
  <si>
    <r>
      <rPr>
        <sz val="10"/>
        <color rgb="FF585858"/>
        <rFont val="Arial Narrow"/>
        <family val="2"/>
      </rPr>
      <t>Percent heated</t>
    </r>
  </si>
  <si>
    <r>
      <rPr>
        <sz val="10"/>
        <color rgb="FF585858"/>
        <rFont val="Arial Narrow"/>
        <family val="2"/>
      </rPr>
      <t>Percent cooled</t>
    </r>
  </si>
  <si>
    <r>
      <rPr>
        <sz val="10"/>
        <color rgb="FF585858"/>
        <rFont val="Arial Narrow"/>
        <family val="2"/>
      </rPr>
      <t>HDD (provided by Portfolio Manager, based on Zip code)</t>
    </r>
  </si>
  <si>
    <r>
      <rPr>
        <sz val="10"/>
        <color rgb="FF585858"/>
        <rFont val="Arial Narrow"/>
        <family val="2"/>
      </rPr>
      <t>CDD (provided by Portfolio Manager, based on Zip code)</t>
    </r>
  </si>
  <si>
    <t>Sample Data</t>
  </si>
  <si>
    <t>Unit</t>
  </si>
  <si>
    <t>Yes</t>
  </si>
  <si>
    <t>No</t>
  </si>
  <si>
    <t>Actual EUI</t>
  </si>
  <si>
    <t>Predicted Source EUI</t>
  </si>
  <si>
    <t>Efficiency Ratio =</t>
  </si>
  <si>
    <t>For Calculation</t>
  </si>
  <si>
    <r>
      <rPr>
        <sz val="9"/>
        <color rgb="FF585858"/>
        <rFont val="Arial Narrow"/>
        <family val="2"/>
      </rPr>
      <t>&gt; 2.1299</t>
    </r>
  </si>
  <si>
    <r>
      <rPr>
        <sz val="9"/>
        <color rgb="FF585858"/>
        <rFont val="Arial Narrow"/>
        <family val="2"/>
      </rPr>
      <t>&gt; 3.0868</t>
    </r>
  </si>
  <si>
    <r>
      <rPr>
        <sz val="9"/>
        <color rgb="FF585858"/>
        <rFont val="Arial Narrow"/>
        <family val="2"/>
      </rPr>
      <t>&gt; 2.3444</t>
    </r>
  </si>
  <si>
    <r>
      <rPr>
        <sz val="9"/>
        <color rgb="FFF5F9FB"/>
        <rFont val="Arial Narrow"/>
        <family val="2"/>
      </rPr>
      <t>&lt;</t>
    </r>
  </si>
  <si>
    <r>
      <rPr>
        <sz val="9"/>
        <color rgb="FFF5F9FB"/>
        <rFont val="Arial Narrow"/>
        <family val="2"/>
      </rPr>
      <t>&gt; =</t>
    </r>
  </si>
  <si>
    <r>
      <rPr>
        <b/>
        <sz val="9"/>
        <color rgb="FFF5F9FB"/>
        <rFont val="Arial Narrow"/>
        <family val="2"/>
      </rPr>
      <t>Energy Efficiency Ratio</t>
    </r>
  </si>
  <si>
    <r>
      <rPr>
        <b/>
        <sz val="9"/>
        <color rgb="FFF5F9FB"/>
        <rFont val="Arial Narrow"/>
        <family val="2"/>
      </rPr>
      <t>Cumulative Percent</t>
    </r>
  </si>
  <si>
    <r>
      <rPr>
        <b/>
        <sz val="9"/>
        <color rgb="FFF5F9FB"/>
        <rFont val="Arial Narrow"/>
        <family val="2"/>
      </rPr>
      <t xml:space="preserve">ENERGY STAR
</t>
    </r>
    <r>
      <rPr>
        <b/>
        <sz val="9"/>
        <color rgb="FFF5F9FB"/>
        <rFont val="Arial Narrow"/>
        <family val="2"/>
      </rPr>
      <t>Score</t>
    </r>
  </si>
  <si>
    <t>ENERGY STAR Score Lookup Table for K-12 Schools</t>
  </si>
  <si>
    <t>ENERGY STAR Score Lookup Table for Warehouse</t>
  </si>
  <si>
    <t>ENERGY STAR Score Lookup Table for Office</t>
  </si>
  <si>
    <t>ES Score</t>
  </si>
  <si>
    <t>ES25</t>
  </si>
  <si>
    <t>ES50</t>
  </si>
  <si>
    <t>ES75</t>
  </si>
  <si>
    <t>Min</t>
  </si>
  <si>
    <t>Max</t>
  </si>
  <si>
    <t>New EUI</t>
  </si>
  <si>
    <t>New Source EUI</t>
  </si>
  <si>
    <t>Site Energy</t>
  </si>
  <si>
    <t>Monthly</t>
  </si>
  <si>
    <t>Electrical Misc.</t>
  </si>
  <si>
    <t>Lighting</t>
  </si>
  <si>
    <t>Electrical Heat</t>
  </si>
  <si>
    <t>Savings %</t>
  </si>
  <si>
    <t>NG New</t>
  </si>
  <si>
    <t>Electrical CONSUMPTION</t>
  </si>
  <si>
    <t>Convenience Store</t>
  </si>
  <si>
    <t>Data center</t>
  </si>
  <si>
    <t>Data center estimates</t>
  </si>
  <si>
    <t>Hospital (general medical and surgical)</t>
  </si>
  <si>
    <t>Hotel</t>
  </si>
  <si>
    <t>K-12 school</t>
  </si>
  <si>
    <t>Medical office</t>
  </si>
  <si>
    <t>Multifamily housing</t>
  </si>
  <si>
    <t>Office (covers office, bank branch, financial office, and courthouse)</t>
  </si>
  <si>
    <t>Parking</t>
  </si>
  <si>
    <t>Residence hall/ dormitory</t>
  </si>
  <si>
    <t>Retail store (covers retail and wholesale club/supercenter)</t>
  </si>
  <si>
    <t>Senior living community</t>
  </si>
  <si>
    <t>Single-family homes</t>
  </si>
  <si>
    <t>Supermarket/grocery store</t>
  </si>
  <si>
    <t>Swimming pool</t>
  </si>
  <si>
    <t>Vehicle dealerships</t>
  </si>
  <si>
    <t>Warehouse (covers distribution center, non-refrigerated warehouse, and refrigerated warehouse)</t>
  </si>
  <si>
    <t>Wastewater treatment plant</t>
  </si>
  <si>
    <t>Worship facility</t>
  </si>
  <si>
    <t>Building type</t>
  </si>
  <si>
    <t>Building Type</t>
  </si>
  <si>
    <t>Address</t>
  </si>
  <si>
    <t>State/Province</t>
  </si>
  <si>
    <t>Zip Code</t>
  </si>
  <si>
    <t>State Code</t>
  </si>
  <si>
    <r>
      <t>AL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Alabama</t>
    </r>
  </si>
  <si>
    <r>
      <t>AK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Alaska</t>
    </r>
  </si>
  <si>
    <r>
      <t>AZ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Arizona</t>
    </r>
  </si>
  <si>
    <r>
      <t>AR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Arkansas</t>
    </r>
  </si>
  <si>
    <r>
      <t>CA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California</t>
    </r>
  </si>
  <si>
    <r>
      <t>CO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Colorado</t>
    </r>
  </si>
  <si>
    <r>
      <t>CT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Connecticut</t>
    </r>
  </si>
  <si>
    <r>
      <t>DE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Delaware</t>
    </r>
  </si>
  <si>
    <r>
      <t>FL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Florida</t>
    </r>
  </si>
  <si>
    <r>
      <t>GA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Georgia</t>
    </r>
  </si>
  <si>
    <r>
      <t>HI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Hawaii</t>
    </r>
  </si>
  <si>
    <r>
      <t>ID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Idaho</t>
    </r>
  </si>
  <si>
    <r>
      <t>IL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Illinois</t>
    </r>
  </si>
  <si>
    <r>
      <t>IN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Indiana</t>
    </r>
  </si>
  <si>
    <r>
      <t>IA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Iowa</t>
    </r>
  </si>
  <si>
    <r>
      <t>KS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Kansas</t>
    </r>
  </si>
  <si>
    <r>
      <t>KY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Kentucky</t>
    </r>
  </si>
  <si>
    <r>
      <t>LA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Louisiana</t>
    </r>
  </si>
  <si>
    <r>
      <t>ME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Maine</t>
    </r>
  </si>
  <si>
    <r>
      <t>MD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Maryland</t>
    </r>
  </si>
  <si>
    <r>
      <t>MA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Massachusetts</t>
    </r>
  </si>
  <si>
    <r>
      <t>MI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Michigan</t>
    </r>
  </si>
  <si>
    <r>
      <t>MN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Minnesota</t>
    </r>
  </si>
  <si>
    <r>
      <t>MS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Mississippi</t>
    </r>
  </si>
  <si>
    <r>
      <t>MO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Missouri</t>
    </r>
  </si>
  <si>
    <r>
      <t>MT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Montana</t>
    </r>
  </si>
  <si>
    <r>
      <t>NE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Nebraska</t>
    </r>
  </si>
  <si>
    <r>
      <t>NV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Nevada</t>
    </r>
  </si>
  <si>
    <r>
      <t>NH</t>
    </r>
    <r>
      <rPr>
        <sz val="8"/>
        <color rgb="FF555555"/>
        <rFont val="Inherit"/>
      </rPr>
      <t>|</t>
    </r>
    <r>
      <rPr>
        <sz val="8"/>
        <color rgb="FF53738D"/>
        <rFont val="Inherit"/>
      </rPr>
      <t>New</t>
    </r>
    <r>
      <rPr>
        <sz val="9.3000000000000007"/>
        <color rgb="FF4E4E4E"/>
        <rFont val="Consolas"/>
        <family val="3"/>
      </rPr>
      <t xml:space="preserve"> </t>
    </r>
    <r>
      <rPr>
        <sz val="8"/>
        <color rgb="FF4E4E4E"/>
        <rFont val="Inherit"/>
      </rPr>
      <t>Hampshire</t>
    </r>
  </si>
  <si>
    <r>
      <t>NJ</t>
    </r>
    <r>
      <rPr>
        <sz val="8"/>
        <color rgb="FF555555"/>
        <rFont val="Inherit"/>
      </rPr>
      <t>|</t>
    </r>
    <r>
      <rPr>
        <sz val="8"/>
        <color rgb="FF53738D"/>
        <rFont val="Inherit"/>
      </rPr>
      <t>New</t>
    </r>
    <r>
      <rPr>
        <sz val="9.3000000000000007"/>
        <color rgb="FF4E4E4E"/>
        <rFont val="Consolas"/>
        <family val="3"/>
      </rPr>
      <t xml:space="preserve"> </t>
    </r>
    <r>
      <rPr>
        <sz val="8"/>
        <color rgb="FF4E4E4E"/>
        <rFont val="Inherit"/>
      </rPr>
      <t>Jersey</t>
    </r>
  </si>
  <si>
    <r>
      <t>NM</t>
    </r>
    <r>
      <rPr>
        <sz val="8"/>
        <color rgb="FF555555"/>
        <rFont val="Inherit"/>
      </rPr>
      <t>|</t>
    </r>
    <r>
      <rPr>
        <sz val="8"/>
        <color rgb="FF53738D"/>
        <rFont val="Inherit"/>
      </rPr>
      <t>New</t>
    </r>
    <r>
      <rPr>
        <sz val="9.3000000000000007"/>
        <color rgb="FF4E4E4E"/>
        <rFont val="Consolas"/>
        <family val="3"/>
      </rPr>
      <t xml:space="preserve"> </t>
    </r>
    <r>
      <rPr>
        <sz val="8"/>
        <color rgb="FF4E4E4E"/>
        <rFont val="Inherit"/>
      </rPr>
      <t>Mexico</t>
    </r>
  </si>
  <si>
    <r>
      <t>NY</t>
    </r>
    <r>
      <rPr>
        <sz val="8"/>
        <color rgb="FF555555"/>
        <rFont val="Inherit"/>
      </rPr>
      <t>|</t>
    </r>
    <r>
      <rPr>
        <sz val="8"/>
        <color rgb="FF53738D"/>
        <rFont val="Inherit"/>
      </rPr>
      <t>New</t>
    </r>
    <r>
      <rPr>
        <sz val="9.3000000000000007"/>
        <color rgb="FF4E4E4E"/>
        <rFont val="Consolas"/>
        <family val="3"/>
      </rPr>
      <t xml:space="preserve"> </t>
    </r>
    <r>
      <rPr>
        <sz val="8"/>
        <color rgb="FF4E4E4E"/>
        <rFont val="Inherit"/>
      </rPr>
      <t>York</t>
    </r>
  </si>
  <si>
    <r>
      <t>NC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North Carolina</t>
    </r>
  </si>
  <si>
    <r>
      <t>ND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North Dakota</t>
    </r>
  </si>
  <si>
    <r>
      <t>OH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Ohio</t>
    </r>
  </si>
  <si>
    <r>
      <t>OK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Oklahoma</t>
    </r>
  </si>
  <si>
    <r>
      <t>OR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Oregon</t>
    </r>
  </si>
  <si>
    <r>
      <t>PA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Pennsylvania</t>
    </r>
  </si>
  <si>
    <r>
      <t>RI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Rhode Island</t>
    </r>
  </si>
  <si>
    <r>
      <t>SC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South Carolina</t>
    </r>
  </si>
  <si>
    <r>
      <t>SD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South Dakota</t>
    </r>
  </si>
  <si>
    <r>
      <t>TN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Tennessee</t>
    </r>
  </si>
  <si>
    <r>
      <t>TX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Texas</t>
    </r>
  </si>
  <si>
    <r>
      <t>UT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Utah</t>
    </r>
  </si>
  <si>
    <r>
      <t>VT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Vermont</t>
    </r>
  </si>
  <si>
    <r>
      <t>VA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Virginia</t>
    </r>
  </si>
  <si>
    <r>
      <t>WA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Washington</t>
    </r>
  </si>
  <si>
    <r>
      <t>WV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West Virginia</t>
    </r>
  </si>
  <si>
    <r>
      <t>WI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Wisconsin</t>
    </r>
  </si>
  <si>
    <r>
      <t>WY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Wyoming</t>
    </r>
  </si>
  <si>
    <r>
      <t>DC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District of Columbia</t>
    </r>
  </si>
  <si>
    <r>
      <t>AS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American Samoa</t>
    </r>
  </si>
  <si>
    <r>
      <t>GU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Guam</t>
    </r>
  </si>
  <si>
    <r>
      <t>MP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Northern Mariana Islands</t>
    </r>
  </si>
  <si>
    <r>
      <t>PR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Puerto Rico</t>
    </r>
  </si>
  <si>
    <r>
      <t>UM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United States Minor Outlying Islands</t>
    </r>
  </si>
  <si>
    <r>
      <t>VI</t>
    </r>
    <r>
      <rPr>
        <sz val="8"/>
        <color rgb="FF555555"/>
        <rFont val="Inherit"/>
      </rPr>
      <t>|</t>
    </r>
    <r>
      <rPr>
        <sz val="9.3000000000000007"/>
        <color rgb="FF4E4E4E"/>
        <rFont val="Consolas"/>
        <family val="3"/>
      </rPr>
      <t>Virgin Islands</t>
    </r>
    <r>
      <rPr>
        <sz val="8"/>
        <color rgb="FF555555"/>
        <rFont val="Inherit"/>
      </rPr>
      <t>,</t>
    </r>
    <r>
      <rPr>
        <sz val="9.3000000000000007"/>
        <color rgb="FF4E4E4E"/>
        <rFont val="Consolas"/>
        <family val="3"/>
      </rPr>
      <t xml:space="preserve"> U</t>
    </r>
    <r>
      <rPr>
        <sz val="8"/>
        <color rgb="FF555555"/>
        <rFont val="Inherit"/>
      </rPr>
      <t>.</t>
    </r>
    <r>
      <rPr>
        <sz val="9.3000000000000007"/>
        <color rgb="FF4E4E4E"/>
        <rFont val="Consolas"/>
        <family val="3"/>
      </rPr>
      <t>S</t>
    </r>
    <r>
      <rPr>
        <sz val="8"/>
        <color rgb="FF555555"/>
        <rFont val="Inherit"/>
      </rPr>
      <t>.</t>
    </r>
  </si>
  <si>
    <t>Source Energy</t>
  </si>
  <si>
    <t>Annual Energy Consmption</t>
  </si>
  <si>
    <t>States</t>
  </si>
  <si>
    <t>Codes</t>
  </si>
  <si>
    <t>Energy Type</t>
  </si>
  <si>
    <t>Input Units</t>
  </si>
  <si>
    <t>Conversion to kBtu</t>
  </si>
  <si>
    <t>Conversion to Source Energy</t>
  </si>
  <si>
    <t>Multiply By:</t>
  </si>
  <si>
    <t>100 cubic feet (ccf)</t>
  </si>
  <si>
    <t>Diesel</t>
  </si>
  <si>
    <t>Gallons</t>
  </si>
  <si>
    <t>Propane and Liquid propane</t>
  </si>
  <si>
    <t>Cubic Feet (cf)</t>
  </si>
  <si>
    <t>Coal</t>
  </si>
  <si>
    <t>lb</t>
  </si>
  <si>
    <t>Ton</t>
  </si>
  <si>
    <t>Steam</t>
  </si>
  <si>
    <t>lbs</t>
  </si>
  <si>
    <t>1000 lbs</t>
  </si>
  <si>
    <t>Chilled Waters</t>
  </si>
  <si>
    <t>Ton-Hrs</t>
  </si>
  <si>
    <t>Any Fuel</t>
  </si>
  <si>
    <t>1000 cubic feet (Mcf)</t>
  </si>
  <si>
    <r>
      <rPr>
        <sz val="12"/>
        <color rgb="FFFFFFFF"/>
        <rFont val="Arial Narrow"/>
        <family val="2"/>
      </rPr>
      <t>Multiplier to get kBtu (US &amp; Canada)</t>
    </r>
  </si>
  <si>
    <r>
      <rPr>
        <sz val="12"/>
        <color rgb="FFFFFFFF"/>
        <rFont val="Arial Narrow"/>
        <family val="2"/>
      </rPr>
      <t>Multiplier to get GJ (US &amp; Canada)</t>
    </r>
  </si>
  <si>
    <r>
      <rPr>
        <sz val="10"/>
        <color rgb="FF3F3F3F"/>
        <rFont val="Arial Narrow"/>
        <family val="2"/>
      </rPr>
      <t>kWh (thousand Watt-hours)</t>
    </r>
  </si>
  <si>
    <r>
      <rPr>
        <sz val="10"/>
        <color rgb="FF3F3F3F"/>
        <rFont val="Arial Narrow"/>
        <family val="2"/>
      </rPr>
      <t>MWh (million Watt-hours)</t>
    </r>
  </si>
  <si>
    <r>
      <rPr>
        <sz val="10"/>
        <color rgb="FF3F3F3F"/>
        <rFont val="Arial Narrow"/>
        <family val="2"/>
      </rPr>
      <t>kBtu (thousand Btu)</t>
    </r>
  </si>
  <si>
    <r>
      <rPr>
        <sz val="10"/>
        <color rgb="FF3F3F3F"/>
        <rFont val="Arial Narrow"/>
        <family val="2"/>
      </rPr>
      <t>MBtu/MMBtu (million Btu)</t>
    </r>
  </si>
  <si>
    <r>
      <rPr>
        <sz val="10"/>
        <color rgb="FF3F3F3F"/>
        <rFont val="Arial Narrow"/>
        <family val="2"/>
      </rPr>
      <t>GJ (billion joules)</t>
    </r>
  </si>
  <si>
    <r>
      <rPr>
        <sz val="12"/>
        <color rgb="FFFFFFFF"/>
        <rFont val="Arial Narrow"/>
        <family val="2"/>
      </rPr>
      <t>Meter Type</t>
    </r>
  </si>
  <si>
    <r>
      <rPr>
        <sz val="12"/>
        <color rgb="FFFFFFFF"/>
        <rFont val="Arial Narrow"/>
        <family val="2"/>
      </rPr>
      <t>Input Unit Options</t>
    </r>
  </si>
  <si>
    <r>
      <rPr>
        <sz val="12"/>
        <color rgb="FFFFFFFF"/>
        <rFont val="Arial Narrow"/>
        <family val="2"/>
      </rPr>
      <t>U.S. Property Assumptions</t>
    </r>
    <r>
      <rPr>
        <vertAlign val="superscript"/>
        <sz val="8"/>
        <color rgb="FFFFFFFF"/>
        <rFont val="Arial Narrow"/>
        <family val="2"/>
      </rPr>
      <t>1</t>
    </r>
  </si>
  <si>
    <r>
      <rPr>
        <sz val="12"/>
        <color rgb="FFFFFFFF"/>
        <rFont val="Arial Narrow"/>
        <family val="2"/>
      </rPr>
      <t>Multiplier to get kBtu</t>
    </r>
  </si>
  <si>
    <r>
      <rPr>
        <sz val="12"/>
        <color rgb="FFFFFFFF"/>
        <rFont val="Arial Narrow"/>
        <family val="2"/>
      </rPr>
      <t>Heat Content</t>
    </r>
  </si>
  <si>
    <r>
      <rPr>
        <sz val="10"/>
        <color rgb="FF3F3F3F"/>
        <rFont val="Arial Narrow"/>
        <family val="2"/>
      </rPr>
      <t>Electricity  (Grid Purchase and Onsite Renewable)</t>
    </r>
  </si>
  <si>
    <r>
      <rPr>
        <sz val="10"/>
        <color rgb="FF3F3F3F"/>
        <rFont val="Arial Narrow"/>
        <family val="2"/>
      </rPr>
      <t>Not Applicable</t>
    </r>
  </si>
  <si>
    <r>
      <rPr>
        <sz val="10"/>
        <color rgb="FF3F3F3F"/>
        <rFont val="Arial Narrow"/>
        <family val="2"/>
      </rPr>
      <t>Natural Gas</t>
    </r>
  </si>
  <si>
    <r>
      <rPr>
        <sz val="10"/>
        <color rgb="FF3F3F3F"/>
        <rFont val="Arial Narrow"/>
        <family val="2"/>
      </rPr>
      <t xml:space="preserve">1,026
</t>
    </r>
    <r>
      <rPr>
        <sz val="10"/>
        <color rgb="FF3F3F3F"/>
        <rFont val="Arial Narrow"/>
        <family val="2"/>
      </rPr>
      <t>Btu/cf</t>
    </r>
  </si>
  <si>
    <r>
      <rPr>
        <sz val="10"/>
        <color rgb="FF3F3F3F"/>
        <rFont val="Arial Narrow"/>
        <family val="2"/>
      </rPr>
      <t>cf (cubic feet)</t>
    </r>
  </si>
  <si>
    <r>
      <rPr>
        <sz val="10"/>
        <color rgb="FF3F3F3F"/>
        <rFont val="Arial Narrow"/>
        <family val="2"/>
      </rPr>
      <t>Ccf (hundred cubic feet)</t>
    </r>
  </si>
  <si>
    <r>
      <rPr>
        <sz val="10"/>
        <color rgb="FF3F3F3F"/>
        <rFont val="Arial Narrow"/>
        <family val="2"/>
      </rPr>
      <t>Kcf (thousand cubic feet)</t>
    </r>
  </si>
  <si>
    <r>
      <rPr>
        <sz val="10"/>
        <color rgb="FF3F3F3F"/>
        <rFont val="Arial Narrow"/>
        <family val="2"/>
      </rPr>
      <t>Mcf (million cubic feet)</t>
    </r>
  </si>
  <si>
    <r>
      <rPr>
        <sz val="10"/>
        <color rgb="FF3F3F3F"/>
        <rFont val="Arial Narrow"/>
        <family val="2"/>
      </rPr>
      <t>Therms</t>
    </r>
  </si>
  <si>
    <r>
      <rPr>
        <sz val="10"/>
        <color rgb="FF3F3F3F"/>
        <rFont val="Arial Narrow"/>
        <family val="2"/>
      </rPr>
      <t>cubic meters</t>
    </r>
  </si>
  <si>
    <r>
      <rPr>
        <sz val="10"/>
        <color rgb="FF3F3F3F"/>
        <rFont val="Arial Narrow"/>
        <family val="2"/>
      </rPr>
      <t>Fuel Oil (No. 1)</t>
    </r>
  </si>
  <si>
    <r>
      <rPr>
        <sz val="10"/>
        <color rgb="FF3F3F3F"/>
        <rFont val="Arial Narrow"/>
        <family val="2"/>
      </rPr>
      <t xml:space="preserve">0.139
</t>
    </r>
    <r>
      <rPr>
        <sz val="10"/>
        <color rgb="FF3F3F3F"/>
        <rFont val="Arial Narrow"/>
        <family val="2"/>
      </rPr>
      <t>MBtu/gallon</t>
    </r>
  </si>
  <si>
    <r>
      <rPr>
        <sz val="10"/>
        <color rgb="FF3F3F3F"/>
        <rFont val="Arial Narrow"/>
        <family val="2"/>
      </rPr>
      <t>Gallons (US)</t>
    </r>
  </si>
  <si>
    <r>
      <rPr>
        <sz val="10"/>
        <color rgb="FF3F3F3F"/>
        <rFont val="Arial Narrow"/>
        <family val="2"/>
      </rPr>
      <t>Gallons (UK)</t>
    </r>
  </si>
  <si>
    <r>
      <rPr>
        <sz val="10"/>
        <color rgb="FF3F3F3F"/>
        <rFont val="Arial Narrow"/>
        <family val="2"/>
      </rPr>
      <t>liters</t>
    </r>
  </si>
  <si>
    <r>
      <rPr>
        <sz val="10"/>
        <color rgb="FF3F3F3F"/>
        <rFont val="Arial Narrow"/>
        <family val="2"/>
      </rPr>
      <t>Fuel Oil (No. 2)</t>
    </r>
  </si>
  <si>
    <r>
      <rPr>
        <sz val="10"/>
        <color rgb="FF3F3F3F"/>
        <rFont val="Arial Narrow"/>
        <family val="2"/>
      </rPr>
      <t xml:space="preserve">0.138
</t>
    </r>
    <r>
      <rPr>
        <sz val="10"/>
        <color rgb="FF3F3F3F"/>
        <rFont val="Arial Narrow"/>
        <family val="2"/>
      </rPr>
      <t>MBtu/gallon</t>
    </r>
  </si>
  <si>
    <r>
      <rPr>
        <sz val="10"/>
        <color rgb="FF3F3F3F"/>
        <rFont val="Arial Narrow"/>
        <family val="2"/>
      </rPr>
      <t>Fuel Oil (No. 4)</t>
    </r>
  </si>
  <si>
    <r>
      <rPr>
        <sz val="10"/>
        <color rgb="FF3F3F3F"/>
        <rFont val="Arial Narrow"/>
        <family val="2"/>
      </rPr>
      <t xml:space="preserve">0.146
</t>
    </r>
    <r>
      <rPr>
        <sz val="10"/>
        <color rgb="FF3F3F3F"/>
        <rFont val="Arial Narrow"/>
        <family val="2"/>
      </rPr>
      <t>MBtu/gallon</t>
    </r>
  </si>
  <si>
    <r>
      <rPr>
        <sz val="10"/>
        <color rgb="FF3F3F3F"/>
        <rFont val="Arial Narrow"/>
        <family val="2"/>
      </rPr>
      <t>Fuel Oil (No. 5 &amp; No. 6)</t>
    </r>
    <r>
      <rPr>
        <vertAlign val="superscript"/>
        <sz val="7"/>
        <color rgb="FF3F3F3F"/>
        <rFont val="Arial Narrow"/>
        <family val="2"/>
      </rPr>
      <t>3</t>
    </r>
  </si>
  <si>
    <r>
      <rPr>
        <sz val="10"/>
        <color rgb="FF3F3F3F"/>
        <rFont val="Arial Narrow"/>
        <family val="2"/>
      </rPr>
      <t xml:space="preserve">0.150
</t>
    </r>
    <r>
      <rPr>
        <sz val="10"/>
        <color rgb="FF3F3F3F"/>
        <rFont val="Arial Narrow"/>
        <family val="2"/>
      </rPr>
      <t>MBtu/gallon</t>
    </r>
  </si>
  <si>
    <r>
      <rPr>
        <sz val="10"/>
        <color rgb="FF3F3F3F"/>
        <rFont val="Arial Narrow"/>
        <family val="2"/>
      </rPr>
      <t>Diesel</t>
    </r>
  </si>
  <si>
    <r>
      <rPr>
        <sz val="10"/>
        <color rgb="FF3F3F3F"/>
        <rFont val="Arial Narrow"/>
        <family val="2"/>
      </rPr>
      <t>Kerosene</t>
    </r>
  </si>
  <si>
    <r>
      <rPr>
        <sz val="10"/>
        <color rgb="FF3F3F3F"/>
        <rFont val="Arial Narrow"/>
        <family val="2"/>
      </rPr>
      <t xml:space="preserve">0.135
</t>
    </r>
    <r>
      <rPr>
        <sz val="10"/>
        <color rgb="FF3F3F3F"/>
        <rFont val="Arial Narrow"/>
        <family val="2"/>
      </rPr>
      <t>MBtu/gallon</t>
    </r>
  </si>
  <si>
    <r>
      <rPr>
        <sz val="10"/>
        <color rgb="FF3F3F3F"/>
        <rFont val="Arial Narrow"/>
        <family val="2"/>
      </rPr>
      <t>Propane</t>
    </r>
    <r>
      <rPr>
        <vertAlign val="superscript"/>
        <sz val="7"/>
        <color rgb="FF3F3F3F"/>
        <rFont val="Arial Narrow"/>
        <family val="2"/>
      </rPr>
      <t>4</t>
    </r>
  </si>
  <si>
    <r>
      <rPr>
        <sz val="10"/>
        <color rgb="FF3F3F3F"/>
        <rFont val="Arial Narrow"/>
        <family val="2"/>
      </rPr>
      <t xml:space="preserve">0.092
</t>
    </r>
    <r>
      <rPr>
        <sz val="10"/>
        <color rgb="FF3F3F3F"/>
        <rFont val="Arial Narrow"/>
        <family val="2"/>
      </rPr>
      <t>MBtu/gallon</t>
    </r>
  </si>
  <si>
    <r>
      <rPr>
        <sz val="10"/>
        <color rgb="FF3F3F3F"/>
        <rFont val="Arial Narrow"/>
        <family val="2"/>
      </rPr>
      <t>Cf (cubic feet)</t>
    </r>
  </si>
  <si>
    <r>
      <rPr>
        <sz val="10"/>
        <color rgb="FF3F3F3F"/>
        <rFont val="Arial Narrow"/>
        <family val="2"/>
      </rPr>
      <t>District Steam</t>
    </r>
  </si>
  <si>
    <r>
      <rPr>
        <sz val="10"/>
        <color rgb="FF3F3F3F"/>
        <rFont val="Arial Narrow"/>
        <family val="2"/>
      </rPr>
      <t xml:space="preserve">1,194
</t>
    </r>
    <r>
      <rPr>
        <sz val="10"/>
        <color rgb="FF3F3F3F"/>
        <rFont val="Arial Narrow"/>
        <family val="2"/>
      </rPr>
      <t>Btu/Lb</t>
    </r>
  </si>
  <si>
    <r>
      <rPr>
        <sz val="10"/>
        <color rgb="FF3F3F3F"/>
        <rFont val="Arial Narrow"/>
        <family val="2"/>
      </rPr>
      <t>Lbs</t>
    </r>
  </si>
  <si>
    <r>
      <rPr>
        <sz val="10"/>
        <color rgb="FF3F3F3F"/>
        <rFont val="Arial Narrow"/>
        <family val="2"/>
      </rPr>
      <t>kLbs (thousand pounds)</t>
    </r>
  </si>
  <si>
    <r>
      <rPr>
        <sz val="10"/>
        <color rgb="FF3F3F3F"/>
        <rFont val="Arial Narrow"/>
        <family val="2"/>
      </rPr>
      <t>MLbs (million pounds)</t>
    </r>
  </si>
  <si>
    <r>
      <rPr>
        <sz val="10"/>
        <color rgb="FF3F3F3F"/>
        <rFont val="Arial Narrow"/>
        <family val="2"/>
      </rPr>
      <t>therms</t>
    </r>
  </si>
  <si>
    <r>
      <rPr>
        <sz val="10"/>
        <color rgb="FF3F3F3F"/>
        <rFont val="Arial Narrow"/>
        <family val="2"/>
      </rPr>
      <t>kg</t>
    </r>
  </si>
  <si>
    <r>
      <rPr>
        <sz val="10"/>
        <color rgb="FF3F3F3F"/>
        <rFont val="Arial Narrow"/>
        <family val="2"/>
      </rPr>
      <t>District Hot Water</t>
    </r>
  </si>
  <si>
    <r>
      <rPr>
        <sz val="10"/>
        <color rgb="FF3F3F3F"/>
        <rFont val="Arial Narrow"/>
        <family val="2"/>
      </rPr>
      <t>Not Needed - No Volume Entry Units</t>
    </r>
  </si>
  <si>
    <r>
      <rPr>
        <sz val="10"/>
        <color rgb="FF3F3F3F"/>
        <rFont val="Arial Narrow"/>
        <family val="2"/>
      </rPr>
      <t xml:space="preserve">District Chilled Water
</t>
    </r>
    <r>
      <rPr>
        <sz val="10"/>
        <color rgb="FF3F3F3F"/>
        <rFont val="Arial Narrow"/>
        <family val="2"/>
      </rPr>
      <t>(All Types)</t>
    </r>
  </si>
  <si>
    <r>
      <rPr>
        <sz val="10"/>
        <color rgb="FF3F3F3F"/>
        <rFont val="Arial Narrow"/>
        <family val="2"/>
      </rPr>
      <t>Ton Hours</t>
    </r>
  </si>
  <si>
    <r>
      <rPr>
        <sz val="10"/>
        <color rgb="FF3F3F3F"/>
        <rFont val="Arial Narrow"/>
        <family val="2"/>
      </rPr>
      <t>Coal (anthracite)</t>
    </r>
  </si>
  <si>
    <r>
      <rPr>
        <sz val="10"/>
        <color rgb="FF3F3F3F"/>
        <rFont val="Arial Narrow"/>
        <family val="2"/>
      </rPr>
      <t xml:space="preserve">25.09
</t>
    </r>
    <r>
      <rPr>
        <sz val="10"/>
        <color rgb="FF3F3F3F"/>
        <rFont val="Arial Narrow"/>
        <family val="2"/>
      </rPr>
      <t>MBtu/ton</t>
    </r>
  </si>
  <si>
    <r>
      <rPr>
        <sz val="10"/>
        <color rgb="FF3F3F3F"/>
        <rFont val="Arial Narrow"/>
        <family val="2"/>
      </rPr>
      <t>Tons</t>
    </r>
  </si>
  <si>
    <r>
      <rPr>
        <sz val="10"/>
        <color rgb="FF3F3F3F"/>
        <rFont val="Arial Narrow"/>
        <family val="2"/>
      </rPr>
      <t>Tonnes (metric)</t>
    </r>
  </si>
  <si>
    <r>
      <rPr>
        <sz val="10"/>
        <color rgb="FF3F3F3F"/>
        <rFont val="Arial Narrow"/>
        <family val="2"/>
      </rPr>
      <t>Coal (bituminous)</t>
    </r>
  </si>
  <si>
    <r>
      <rPr>
        <sz val="10"/>
        <color rgb="FF3F3F3F"/>
        <rFont val="Arial Narrow"/>
        <family val="2"/>
      </rPr>
      <t xml:space="preserve">24.93
</t>
    </r>
    <r>
      <rPr>
        <sz val="10"/>
        <color rgb="FF3F3F3F"/>
        <rFont val="Arial Narrow"/>
        <family val="2"/>
      </rPr>
      <t>MBtu/ton</t>
    </r>
  </si>
  <si>
    <r>
      <rPr>
        <sz val="10"/>
        <color rgb="FF3F3F3F"/>
        <rFont val="Arial Narrow"/>
        <family val="2"/>
      </rPr>
      <t>Coke</t>
    </r>
  </si>
  <si>
    <r>
      <rPr>
        <sz val="10"/>
        <color rgb="FF3F3F3F"/>
        <rFont val="Arial Narrow"/>
        <family val="2"/>
      </rPr>
      <t xml:space="preserve">24.80
</t>
    </r>
    <r>
      <rPr>
        <sz val="10"/>
        <color rgb="FF3F3F3F"/>
        <rFont val="Arial Narrow"/>
        <family val="2"/>
      </rPr>
      <t>MBtu/ton</t>
    </r>
  </si>
  <si>
    <r>
      <rPr>
        <sz val="10"/>
        <color rgb="FF3F3F3F"/>
        <rFont val="Arial Narrow"/>
        <family val="2"/>
      </rPr>
      <t>Wood</t>
    </r>
  </si>
  <si>
    <r>
      <rPr>
        <sz val="10"/>
        <color rgb="FF3F3F3F"/>
        <rFont val="Arial Narrow"/>
        <family val="2"/>
      </rPr>
      <t xml:space="preserve">15.38
</t>
    </r>
    <r>
      <rPr>
        <sz val="10"/>
        <color rgb="FF3F3F3F"/>
        <rFont val="Arial Narrow"/>
        <family val="2"/>
      </rPr>
      <t>MBtu/Ton</t>
    </r>
  </si>
  <si>
    <r>
      <rPr>
        <sz val="10"/>
        <color rgb="FF3F3F3F"/>
        <rFont val="Arial Narrow"/>
        <family val="2"/>
      </rPr>
      <t>Other</t>
    </r>
  </si>
  <si>
    <t>Electricity  (Grid Purchase and Onsite Renewable)</t>
  </si>
  <si>
    <t>Fuel Oil (No. 1)</t>
  </si>
  <si>
    <t>Fuel Oil (No. 2)</t>
  </si>
  <si>
    <t>Fuel Oil (No. 4)</t>
  </si>
  <si>
    <t>Fuel Oil (No. 5 &amp; No. 6)3</t>
  </si>
  <si>
    <t>Kerosene</t>
  </si>
  <si>
    <t>Propane4</t>
  </si>
  <si>
    <t>District Steam</t>
  </si>
  <si>
    <t>District Hot Water</t>
  </si>
  <si>
    <t>District Chilled Water
(All Types)</t>
  </si>
  <si>
    <t>Coal (anthracite)</t>
  </si>
  <si>
    <t>Coal (bituminous)</t>
  </si>
  <si>
    <t>Coke</t>
  </si>
  <si>
    <t>Wood</t>
  </si>
  <si>
    <t>Other</t>
  </si>
  <si>
    <t>Mcf</t>
  </si>
  <si>
    <t>UTILITY BILLS</t>
  </si>
  <si>
    <t>Total Site Energy</t>
  </si>
  <si>
    <t>Total Source Energy</t>
  </si>
  <si>
    <t>Any other source of energy</t>
  </si>
  <si>
    <r>
      <rPr>
        <sz val="11"/>
        <color rgb="FF585858"/>
        <rFont val="Arial Narrow"/>
        <family val="2"/>
      </rPr>
      <t>Weekly Operating Hours</t>
    </r>
  </si>
  <si>
    <r>
      <rPr>
        <sz val="11"/>
        <color rgb="FF585858"/>
        <rFont val="Arial Narrow"/>
        <family val="2"/>
      </rPr>
      <t>(Percent Cooled + Percent Cold Storage) x Cooling Degree Days</t>
    </r>
  </si>
  <si>
    <r>
      <rPr>
        <sz val="11"/>
        <color rgb="FF585858"/>
        <rFont val="Arial Narrow"/>
        <family val="2"/>
      </rPr>
      <t xml:space="preserve">Square Footage </t>
    </r>
    <r>
      <rPr>
        <i/>
        <sz val="11"/>
        <color rgb="FF585858"/>
        <rFont val="Arial Narrow"/>
        <family val="2"/>
      </rPr>
      <t>(max value of 100,000)</t>
    </r>
  </si>
  <si>
    <r>
      <rPr>
        <sz val="11"/>
        <color rgb="FF585858"/>
        <rFont val="Arial Narrow"/>
        <family val="2"/>
      </rPr>
      <t>Number of Computers per 1,000 ft</t>
    </r>
    <r>
      <rPr>
        <vertAlign val="superscript"/>
        <sz val="7"/>
        <color rgb="FF585858"/>
        <rFont val="Arial Narrow"/>
        <family val="2"/>
      </rPr>
      <t>2</t>
    </r>
  </si>
  <si>
    <r>
      <rPr>
        <sz val="11"/>
        <color rgb="FF585858"/>
        <rFont val="Arial Narrow"/>
        <family val="2"/>
      </rPr>
      <t>Percent Cooled x Ln (Cooling Degree Days)</t>
    </r>
  </si>
  <si>
    <r>
      <rPr>
        <sz val="11"/>
        <color rgb="FF585858"/>
        <rFont val="Arial Narrow"/>
        <family val="2"/>
      </rPr>
      <t>Small Bank</t>
    </r>
  </si>
  <si>
    <r>
      <rPr>
        <sz val="11"/>
        <color rgb="FF585858"/>
        <rFont val="Arial Narrow"/>
        <family val="2"/>
      </rPr>
      <t>Heating Degree Days</t>
    </r>
  </si>
  <si>
    <r>
      <rPr>
        <sz val="10"/>
        <color rgb="FF585858"/>
        <rFont val="Arial Narrow"/>
        <family val="2"/>
      </rPr>
      <t>Weekly operating hours</t>
    </r>
  </si>
  <si>
    <r>
      <rPr>
        <sz val="10"/>
        <color rgb="FF585858"/>
        <rFont val="Arial Narrow"/>
        <family val="2"/>
      </rPr>
      <t>Workers on the main shift</t>
    </r>
    <r>
      <rPr>
        <vertAlign val="superscript"/>
        <sz val="7"/>
        <color rgb="FF585858"/>
        <rFont val="Arial Narrow"/>
        <family val="2"/>
      </rPr>
      <t>4</t>
    </r>
  </si>
  <si>
    <r>
      <rPr>
        <sz val="10"/>
        <color rgb="FF585858"/>
        <rFont val="Arial Narrow"/>
        <family val="2"/>
      </rPr>
      <t>Number of computers</t>
    </r>
  </si>
  <si>
    <r>
      <rPr>
        <sz val="10"/>
        <color rgb="FF585858"/>
        <rFont val="Arial Narrow"/>
        <family val="2"/>
      </rPr>
      <t>Percent of the building that is cooled</t>
    </r>
  </si>
  <si>
    <r>
      <rPr>
        <sz val="10"/>
        <color rgb="FF585858"/>
        <rFont val="Arial Narrow"/>
        <family val="2"/>
      </rPr>
      <t>Percent of the building used for cold storage</t>
    </r>
  </si>
  <si>
    <r>
      <rPr>
        <sz val="10"/>
        <color rgb="FF585858"/>
        <rFont val="Arial Narrow"/>
        <family val="2"/>
      </rPr>
      <t>Percent of the building that is heated</t>
    </r>
  </si>
  <si>
    <t>Gross Floor Area</t>
  </si>
  <si>
    <t>Percent of the building Cooled</t>
  </si>
  <si>
    <t>Actual Source EUI</t>
  </si>
  <si>
    <t>Energy Star Score</t>
  </si>
  <si>
    <t>Actual Score</t>
  </si>
  <si>
    <t>Actual Efficiency</t>
  </si>
  <si>
    <t>Target Energy Star Score</t>
  </si>
  <si>
    <t>ES</t>
  </si>
  <si>
    <t>Gross Floor Area (Sq.Ft)</t>
  </si>
  <si>
    <t>Efficiency Ratio</t>
  </si>
  <si>
    <t>Unstandardized Coefficients</t>
  </si>
  <si>
    <t>Mean Value Table</t>
  </si>
  <si>
    <t>Percent Cooled x Cooling Degree Days</t>
  </si>
  <si>
    <t>Percent Heated x Heating Degree Days</t>
  </si>
  <si>
    <t>Description</t>
  </si>
  <si>
    <t>Constant</t>
  </si>
  <si>
    <t>Cooking</t>
  </si>
  <si>
    <t>Heating Degree Days</t>
  </si>
  <si>
    <t>High School</t>
  </si>
  <si>
    <t>Open Weekends</t>
  </si>
  <si>
    <t>Small Bank</t>
  </si>
  <si>
    <t>Actual Building Value</t>
  </si>
  <si>
    <t>Refference centring value</t>
  </si>
  <si>
    <t>Building Centred Value</t>
  </si>
  <si>
    <t>Weekly Operating Hours</t>
  </si>
  <si>
    <t>Percent Cold Storage</t>
  </si>
  <si>
    <t>(Percent Cooled + Percent Cold Storage) x Cooling Degree Days</t>
  </si>
  <si>
    <t>Percent Cooled x Ln (Cooling Degree Days)</t>
  </si>
  <si>
    <t>Co-efficient</t>
  </si>
  <si>
    <t>Co-efficient * Centred Variable</t>
  </si>
  <si>
    <t>Cooling Degree Days</t>
  </si>
  <si>
    <t>Number of Computers per 1,000 ft2</t>
  </si>
  <si>
    <t>per 1000 sq.ft</t>
  </si>
  <si>
    <t>Percent cooled x cooling Degree Days</t>
  </si>
  <si>
    <t>Weekly operating hours</t>
  </si>
  <si>
    <t>Percent of the building used for cold storage</t>
  </si>
  <si>
    <t>Percent of the building used for Cold Storage</t>
  </si>
  <si>
    <t>Square Footage (max value of 100,000)</t>
  </si>
  <si>
    <t>Utility Bill Data</t>
  </si>
  <si>
    <t>Metered</t>
  </si>
  <si>
    <t>Charged</t>
  </si>
  <si>
    <t>Consmption</t>
  </si>
  <si>
    <t>$</t>
  </si>
  <si>
    <t>Consumption</t>
  </si>
  <si>
    <t>Month</t>
  </si>
  <si>
    <t>Demand</t>
  </si>
  <si>
    <t>Start Month</t>
  </si>
  <si>
    <t xml:space="preserve">Month </t>
  </si>
  <si>
    <t>Start Date</t>
  </si>
  <si>
    <t>Start Year</t>
  </si>
  <si>
    <t>Bill Period</t>
  </si>
  <si>
    <t>Combined</t>
  </si>
  <si>
    <t>NG Heat</t>
  </si>
  <si>
    <t xml:space="preserve"> Misc.</t>
  </si>
  <si>
    <t>Light</t>
  </si>
  <si>
    <t>Elect Heat</t>
  </si>
  <si>
    <t>NATURAL GAS / FUEL SAVINGS</t>
  </si>
  <si>
    <t>Facility</t>
  </si>
  <si>
    <t>Entity</t>
  </si>
  <si>
    <t>Cost of</t>
  </si>
  <si>
    <t xml:space="preserve">Total </t>
  </si>
  <si>
    <t>Electric Cost</t>
  </si>
  <si>
    <t>Rate of Electricity</t>
  </si>
  <si>
    <t>$/kWh</t>
  </si>
  <si>
    <t>Rate of NG</t>
  </si>
  <si>
    <t>Mcost</t>
  </si>
  <si>
    <t>SPBK</t>
  </si>
  <si>
    <t>LPD1</t>
  </si>
  <si>
    <t>LPD2</t>
  </si>
  <si>
    <t>ANNUAL WORK HOURS</t>
  </si>
  <si>
    <t>52 weeks</t>
  </si>
  <si>
    <t>5 days</t>
  </si>
  <si>
    <t>10 hours</t>
  </si>
  <si>
    <t>SAV</t>
  </si>
  <si>
    <t>RATE</t>
  </si>
  <si>
    <t>Rbate</t>
  </si>
  <si>
    <t>Post Project</t>
  </si>
  <si>
    <t>Pre-Project</t>
  </si>
  <si>
    <t>Desired Simple Payback Period</t>
  </si>
  <si>
    <t>Electricity Rate</t>
  </si>
  <si>
    <t>Maximum Project Cost (Cost per Sq. Ft.)</t>
  </si>
  <si>
    <t>W/Sq.Ft.</t>
  </si>
  <si>
    <t>Yr</t>
  </si>
  <si>
    <t>NG CONSUMPTION</t>
  </si>
  <si>
    <t>Note: * in the bill period denotes it's expected billing period as per older bill records</t>
  </si>
  <si>
    <t>OM / Other</t>
  </si>
  <si>
    <t>ELEC. HEAT</t>
  </si>
  <si>
    <t>New NG Heat</t>
  </si>
  <si>
    <t>New NG Other</t>
  </si>
  <si>
    <t>April</t>
  </si>
  <si>
    <t>Abernathy ISD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</si>
</sst>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-[$$-409]* #,##0_ ;_-[$$-409]* \-#,##0\ ;_-[$$-409]* &quot;-&quot;??_ ;_-@_ "/>
    <numFmt numFmtId="165" formatCode="_-[$$-409]* #,##0.00_ ;_-[$$-409]* \-#,##0.00\ ;_-[$$-409]* &quot;-&quot;??_ ;_-@_ "/>
    <numFmt numFmtId="166" formatCode="0.0"/>
    <numFmt numFmtId="167" formatCode="_-[$$-409]* #,##0.0000_ ;_-[$$-409]* \-#,##0.0000\ ;_-[$$-409]* &quot;-&quot;??_ ;_-@_ "/>
    <numFmt numFmtId="168" formatCode="0.00000"/>
    <numFmt numFmtId="169" formatCode="0.0000"/>
    <numFmt numFmtId="170" formatCode="0.000"/>
    <numFmt numFmtId="171" formatCode="0.000000"/>
    <numFmt numFmtId="172" formatCode="#,##0.0"/>
    <numFmt numFmtId="173" formatCode="[$$-409]#,##0"/>
    <numFmt numFmtId="174" formatCode="[$$-409]#,##0_ ;\-[$$-409]#,##0\ "/>
    <numFmt numFmtId="175" formatCode="#,##0.000"/>
    <numFmt numFmtId="176" formatCode="0.0000000"/>
    <numFmt numFmtId="177" formatCode="0\ %"/>
    <numFmt numFmtId="178" formatCode="#,##0.000;\-#,##0.000"/>
    <numFmt numFmtId="179" formatCode="[$$-409]#,##0.00"/>
    <numFmt numFmtId="180" formatCode="[$$-409]#,##0.00_ ;\-[$$-409]#,##0.00\ 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sz val="8"/>
      <color rgb="FF000000"/>
      <name val="Times New Roman"/>
      <family val="1"/>
    </font>
    <font>
      <b/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sz val="8"/>
      <name val="Times New Roman"/>
      <family val="1"/>
    </font>
    <font>
      <b/>
      <sz val="9"/>
      <color rgb="FF000000"/>
      <name val="Times New Roman"/>
      <family val="1"/>
    </font>
    <font>
      <sz val="9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rgb="FF000000"/>
      <name val="Times New Roman"/>
      <family val="2"/>
    </font>
    <font>
      <sz val="10"/>
      <name val="Times New Roman"/>
      <family val="1"/>
    </font>
    <font>
      <u/>
      <sz val="10"/>
      <name val="Times New Roman"/>
      <family val="1"/>
    </font>
    <font>
      <b/>
      <sz val="12"/>
      <name val="Arial Narrow"/>
      <family val="2"/>
    </font>
    <font>
      <b/>
      <sz val="12"/>
      <color rgb="FFFFFFFF"/>
      <name val="Arial Narrow"/>
      <family val="2"/>
    </font>
    <font>
      <sz val="11"/>
      <color rgb="FF585858"/>
      <name val="Arial Narrow"/>
      <family val="2"/>
    </font>
    <font>
      <vertAlign val="superscript"/>
      <sz val="7"/>
      <color rgb="FF585858"/>
      <name val="Arial Narrow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11"/>
      <color rgb="FFFFFFFF"/>
      <name val="Arial Narrow"/>
      <family val="2"/>
    </font>
    <font>
      <b/>
      <i/>
      <sz val="11"/>
      <name val="Arial Narrow"/>
      <family val="2"/>
    </font>
    <font>
      <b/>
      <i/>
      <sz val="11"/>
      <color rgb="FF585858"/>
      <name val="Arial Narrow"/>
      <family val="2"/>
    </font>
    <font>
      <b/>
      <sz val="10"/>
      <name val="Arial Narrow"/>
      <family val="2"/>
    </font>
    <font>
      <b/>
      <sz val="10"/>
      <color rgb="FFFFFFFF"/>
      <name val="Arial Narrow"/>
      <family val="2"/>
    </font>
    <font>
      <sz val="10"/>
      <name val="Arial Narrow"/>
      <family val="2"/>
    </font>
    <font>
      <sz val="10"/>
      <color rgb="FF585858"/>
      <name val="Arial Narrow"/>
      <family val="2"/>
    </font>
    <font>
      <u/>
      <sz val="10"/>
      <color rgb="FF000000"/>
      <name val="Times New Roman"/>
      <family val="1"/>
    </font>
    <font>
      <sz val="9"/>
      <name val="Arial Narrow"/>
      <family val="2"/>
    </font>
    <font>
      <sz val="9"/>
      <color rgb="FF585858"/>
      <name val="Arial Narrow"/>
      <family val="2"/>
    </font>
    <font>
      <sz val="9"/>
      <color rgb="FFF5F9FB"/>
      <name val="Arial Narrow"/>
      <family val="2"/>
    </font>
    <font>
      <b/>
      <sz val="9"/>
      <name val="Arial Narrow"/>
      <family val="2"/>
    </font>
    <font>
      <b/>
      <sz val="9"/>
      <color rgb="FFF5F9FB"/>
      <name val="Arial Narrow"/>
      <family val="2"/>
    </font>
    <font>
      <b/>
      <sz val="11"/>
      <color theme="1"/>
      <name val="Calibri"/>
      <family val="2"/>
      <scheme val="minor"/>
    </font>
    <font>
      <sz val="9.3000000000000007"/>
      <color rgb="FF4E4E4E"/>
      <name val="Consolas"/>
      <family val="3"/>
    </font>
    <font>
      <sz val="8"/>
      <color rgb="FF9E5C00"/>
      <name val="Inherit"/>
    </font>
    <font>
      <sz val="8"/>
      <color rgb="FF555555"/>
      <name val="Inherit"/>
    </font>
    <font>
      <sz val="8"/>
      <color rgb="FF53738D"/>
      <name val="Inherit"/>
    </font>
    <font>
      <sz val="8"/>
      <color rgb="FF4E4E4E"/>
      <name val="Inherit"/>
    </font>
    <font>
      <sz val="12"/>
      <name val="Arial Narrow"/>
      <family val="2"/>
    </font>
    <font>
      <sz val="12"/>
      <color rgb="FFFFFFFF"/>
      <name val="Arial Narrow"/>
      <family val="2"/>
    </font>
    <font>
      <sz val="10"/>
      <color rgb="FF3F3F3F"/>
      <name val="Arial Narrow"/>
      <family val="2"/>
    </font>
    <font>
      <vertAlign val="superscript"/>
      <sz val="8"/>
      <color rgb="FFFFFFFF"/>
      <name val="Arial Narrow"/>
      <family val="2"/>
    </font>
    <font>
      <vertAlign val="superscript"/>
      <sz val="7"/>
      <color rgb="FF3F3F3F"/>
      <name val="Arial Narrow"/>
      <family val="2"/>
    </font>
    <font>
      <i/>
      <sz val="11"/>
      <color rgb="FF585858"/>
      <name val="Arial Narrow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11"/>
      <color theme="5" tint="-0.249977111117893"/>
      <name val="Bahnschrift SemiBold"/>
      <family val="2"/>
    </font>
    <font>
      <sz val="8"/>
      <color rgb="FF000000"/>
      <name val="Segoe UI"/>
      <family val="2"/>
    </font>
    <font>
      <b/>
      <i/>
      <sz val="10"/>
      <color rgb="FF000000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ED5"/>
      </patternFill>
    </fill>
    <fill>
      <patternFill patternType="solid">
        <fgColor rgb="FFF5F9FB"/>
      </patternFill>
    </fill>
    <fill>
      <patternFill patternType="solid">
        <fgColor rgb="FFD9D9D9"/>
      </patternFill>
    </fill>
    <fill>
      <patternFill patternType="solid">
        <fgColor rgb="FF0087C5"/>
      </patternFill>
    </fill>
    <fill>
      <patternFill patternType="solid">
        <fgColor rgb="FFF5F5F5"/>
        <bgColor indexed="64"/>
      </patternFill>
    </fill>
    <fill>
      <patternFill patternType="solid">
        <fgColor rgb="FF0094D7"/>
      </patternFill>
    </fill>
    <fill>
      <patternFill patternType="solid">
        <fgColor rgb="FFF5FAF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585858"/>
      </left>
      <right style="thin">
        <color rgb="FF585858"/>
      </right>
      <top style="thin">
        <color rgb="FF585858"/>
      </top>
      <bottom/>
      <diagonal/>
    </border>
    <border>
      <left style="thin">
        <color rgb="FF585858"/>
      </left>
      <right/>
      <top style="thin">
        <color rgb="FF585858"/>
      </top>
      <bottom/>
      <diagonal/>
    </border>
    <border>
      <left style="thin">
        <color rgb="FF585858"/>
      </left>
      <right/>
      <top style="thin">
        <color rgb="FF585858"/>
      </top>
      <bottom style="thin">
        <color rgb="FF585858"/>
      </bottom>
      <diagonal/>
    </border>
    <border>
      <left/>
      <right style="thin">
        <color rgb="FF585858"/>
      </right>
      <top style="thin">
        <color rgb="FF585858"/>
      </top>
      <bottom style="thin">
        <color rgb="FF585858"/>
      </bottom>
      <diagonal/>
    </border>
    <border>
      <left style="thin">
        <color rgb="FF585858"/>
      </left>
      <right style="thin">
        <color rgb="FF585858"/>
      </right>
      <top/>
      <bottom style="thin">
        <color rgb="FF585858"/>
      </bottom>
      <diagonal/>
    </border>
    <border>
      <left style="thin">
        <color rgb="FF585858"/>
      </left>
      <right/>
      <top/>
      <bottom style="thin">
        <color rgb="FF585858"/>
      </bottom>
      <diagonal/>
    </border>
    <border>
      <left style="thin">
        <color rgb="FF585858"/>
      </left>
      <right style="thin">
        <color rgb="FF585858"/>
      </right>
      <top style="thin">
        <color rgb="FF585858"/>
      </top>
      <bottom style="thin">
        <color rgb="FF585858"/>
      </bottom>
      <diagonal/>
    </border>
    <border>
      <left style="thin">
        <color rgb="FF585858"/>
      </left>
      <right style="thin">
        <color rgb="FF585858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6">
    <xf numFmtId="0" fontId="0" fillId="0" borderId="0" xfId="0"/>
    <xf numFmtId="0" fontId="2" fillId="0" borderId="0" xfId="2" applyAlignment="1">
      <alignment horizontal="left" vertical="top"/>
    </xf>
    <xf numFmtId="0" fontId="2" fillId="2" borderId="0" xfId="2" applyFill="1" applyAlignment="1">
      <alignment horizontal="left" vertical="top"/>
    </xf>
    <xf numFmtId="0" fontId="2" fillId="0" borderId="1" xfId="2" applyBorder="1" applyAlignment="1">
      <alignment horizontal="left" vertical="top"/>
    </xf>
    <xf numFmtId="165" fontId="2" fillId="0" borderId="0" xfId="2" applyNumberFormat="1" applyAlignment="1">
      <alignment horizontal="left" vertical="top"/>
    </xf>
    <xf numFmtId="164" fontId="2" fillId="0" borderId="0" xfId="2" applyNumberFormat="1" applyAlignment="1">
      <alignment horizontal="left" vertical="top"/>
    </xf>
    <xf numFmtId="1" fontId="2" fillId="0" borderId="0" xfId="2" applyNumberFormat="1" applyAlignment="1">
      <alignment horizontal="left" vertical="top"/>
    </xf>
    <xf numFmtId="0" fontId="2" fillId="0" borderId="0" xfId="2" applyAlignment="1">
      <alignment horizontal="center" vertical="top"/>
    </xf>
    <xf numFmtId="0" fontId="4" fillId="2" borderId="0" xfId="2" applyFont="1" applyFill="1" applyAlignment="1">
      <alignment horizontal="left" vertical="top"/>
    </xf>
    <xf numFmtId="0" fontId="4" fillId="2" borderId="0" xfId="2" applyFont="1" applyFill="1" applyAlignment="1">
      <alignment horizontal="center" vertical="top"/>
    </xf>
    <xf numFmtId="1" fontId="4" fillId="2" borderId="0" xfId="2" applyNumberFormat="1" applyFont="1" applyFill="1" applyAlignment="1">
      <alignment horizontal="center" vertical="top"/>
    </xf>
    <xf numFmtId="165" fontId="4" fillId="2" borderId="0" xfId="3" applyNumberFormat="1" applyFont="1" applyFill="1" applyBorder="1" applyAlignment="1">
      <alignment horizontal="center" vertical="top"/>
    </xf>
    <xf numFmtId="166" fontId="4" fillId="2" borderId="0" xfId="2" applyNumberFormat="1" applyFont="1" applyFill="1" applyAlignment="1">
      <alignment horizontal="center" vertical="top"/>
    </xf>
    <xf numFmtId="0" fontId="5" fillId="2" borderId="0" xfId="2" applyFont="1" applyFill="1" applyAlignment="1">
      <alignment horizontal="left" vertical="top"/>
    </xf>
    <xf numFmtId="1" fontId="4" fillId="2" borderId="0" xfId="2" applyNumberFormat="1" applyFont="1" applyFill="1" applyAlignment="1">
      <alignment horizontal="left" vertical="top"/>
    </xf>
    <xf numFmtId="0" fontId="4" fillId="6" borderId="0" xfId="2" applyFont="1" applyFill="1" applyAlignment="1">
      <alignment vertical="top"/>
    </xf>
    <xf numFmtId="0" fontId="4" fillId="7" borderId="2" xfId="2" applyFont="1" applyFill="1" applyBorder="1" applyAlignment="1">
      <alignment horizontal="left" vertical="top"/>
    </xf>
    <xf numFmtId="0" fontId="2" fillId="0" borderId="4" xfId="2" applyBorder="1" applyAlignment="1">
      <alignment horizontal="left" vertical="top"/>
    </xf>
    <xf numFmtId="0" fontId="2" fillId="0" borderId="5" xfId="2" applyBorder="1" applyAlignment="1">
      <alignment horizontal="left" vertical="top"/>
    </xf>
    <xf numFmtId="0" fontId="2" fillId="0" borderId="6" xfId="2" applyBorder="1" applyAlignment="1">
      <alignment horizontal="left" vertical="top"/>
    </xf>
    <xf numFmtId="0" fontId="2" fillId="0" borderId="7" xfId="2" applyBorder="1" applyAlignment="1">
      <alignment horizontal="left" vertical="top"/>
    </xf>
    <xf numFmtId="166" fontId="2" fillId="0" borderId="0" xfId="2" applyNumberFormat="1" applyAlignment="1">
      <alignment horizontal="left" vertical="top"/>
    </xf>
    <xf numFmtId="167" fontId="2" fillId="0" borderId="0" xfId="2" applyNumberFormat="1" applyAlignment="1">
      <alignment horizontal="left" vertical="top"/>
    </xf>
    <xf numFmtId="165" fontId="0" fillId="0" borderId="0" xfId="3" applyNumberFormat="1" applyFont="1" applyBorder="1" applyAlignment="1">
      <alignment horizontal="left" vertical="top"/>
    </xf>
    <xf numFmtId="37" fontId="11" fillId="0" borderId="8" xfId="2" applyNumberFormat="1" applyFont="1" applyBorder="1" applyAlignment="1">
      <alignment horizontal="center" vertical="top" wrapText="1"/>
    </xf>
    <xf numFmtId="37" fontId="11" fillId="0" borderId="9" xfId="2" applyNumberFormat="1" applyFont="1" applyBorder="1" applyAlignment="1">
      <alignment horizontal="center" vertical="top" wrapText="1"/>
    </xf>
    <xf numFmtId="37" fontId="2" fillId="0" borderId="8" xfId="2" applyNumberFormat="1" applyBorder="1" applyAlignment="1">
      <alignment horizontal="left" vertical="top" wrapText="1"/>
    </xf>
    <xf numFmtId="0" fontId="2" fillId="0" borderId="8" xfId="2" applyBorder="1" applyAlignment="1">
      <alignment horizontal="left" vertical="top" wrapText="1"/>
    </xf>
    <xf numFmtId="0" fontId="12" fillId="0" borderId="8" xfId="2" applyFont="1" applyBorder="1" applyAlignment="1">
      <alignment horizontal="left" vertical="top" wrapText="1"/>
    </xf>
    <xf numFmtId="1" fontId="11" fillId="0" borderId="8" xfId="2" applyNumberFormat="1" applyFont="1" applyBorder="1" applyAlignment="1">
      <alignment horizontal="right" vertical="top" wrapText="1"/>
    </xf>
    <xf numFmtId="0" fontId="12" fillId="0" borderId="8" xfId="2" applyFont="1" applyBorder="1" applyAlignment="1">
      <alignment horizontal="right" vertical="top" wrapText="1"/>
    </xf>
    <xf numFmtId="0" fontId="12" fillId="0" borderId="8" xfId="2" applyFont="1" applyBorder="1" applyAlignment="1">
      <alignment horizontal="center" vertical="top" wrapText="1"/>
    </xf>
    <xf numFmtId="0" fontId="12" fillId="0" borderId="8" xfId="2" applyFont="1" applyBorder="1" applyAlignment="1">
      <alignment horizontal="left" vertical="top" wrapText="1" indent="2"/>
    </xf>
    <xf numFmtId="0" fontId="2" fillId="0" borderId="10" xfId="2" applyBorder="1" applyAlignment="1">
      <alignment horizontal="left" vertical="top" wrapText="1"/>
    </xf>
    <xf numFmtId="0" fontId="12" fillId="0" borderId="0" xfId="2" applyFont="1" applyAlignment="1">
      <alignment horizontal="left" vertical="top"/>
    </xf>
    <xf numFmtId="0" fontId="6" fillId="2" borderId="0" xfId="2" applyFont="1" applyFill="1" applyAlignment="1">
      <alignment horizontal="left" vertical="top"/>
    </xf>
    <xf numFmtId="37" fontId="2" fillId="0" borderId="0" xfId="2" applyNumberFormat="1" applyAlignment="1">
      <alignment horizontal="left" vertical="top"/>
    </xf>
    <xf numFmtId="2" fontId="2" fillId="0" borderId="0" xfId="2" applyNumberFormat="1" applyAlignment="1">
      <alignment horizontal="left" vertical="top"/>
    </xf>
    <xf numFmtId="2" fontId="2" fillId="0" borderId="0" xfId="1" applyNumberFormat="1" applyFont="1" applyAlignment="1">
      <alignment horizontal="left" vertical="top"/>
    </xf>
    <xf numFmtId="0" fontId="2" fillId="0" borderId="0" xfId="1" applyNumberFormat="1" applyFont="1" applyAlignment="1">
      <alignment horizontal="left" vertical="top"/>
    </xf>
    <xf numFmtId="4" fontId="2" fillId="0" borderId="0" xfId="1" applyNumberFormat="1" applyFont="1" applyAlignment="1">
      <alignment horizontal="left" vertical="top"/>
    </xf>
    <xf numFmtId="2" fontId="16" fillId="11" borderId="0" xfId="0" applyNumberFormat="1" applyFont="1" applyFill="1" applyAlignment="1">
      <alignment horizontal="center" vertical="top" wrapText="1"/>
    </xf>
    <xf numFmtId="169" fontId="16" fillId="11" borderId="0" xfId="0" applyNumberFormat="1" applyFont="1" applyFill="1" applyAlignment="1">
      <alignment horizontal="center" vertical="top" wrapText="1"/>
    </xf>
    <xf numFmtId="0" fontId="14" fillId="10" borderId="0" xfId="0" applyFont="1" applyFill="1" applyAlignment="1">
      <alignment vertical="top" wrapText="1"/>
    </xf>
    <xf numFmtId="0" fontId="18" fillId="11" borderId="0" xfId="0" applyFont="1" applyFill="1" applyAlignment="1">
      <alignment vertical="top" wrapText="1"/>
    </xf>
    <xf numFmtId="0" fontId="0" fillId="11" borderId="0" xfId="0" applyFill="1" applyAlignment="1">
      <alignment vertical="top" wrapText="1"/>
    </xf>
    <xf numFmtId="0" fontId="18" fillId="11" borderId="0" xfId="0" applyFont="1" applyFill="1" applyAlignment="1">
      <alignment horizontal="center" vertical="top" wrapText="1"/>
    </xf>
    <xf numFmtId="169" fontId="16" fillId="11" borderId="0" xfId="0" applyNumberFormat="1" applyFont="1" applyFill="1" applyAlignment="1">
      <alignment vertical="top" wrapText="1"/>
    </xf>
    <xf numFmtId="3" fontId="16" fillId="11" borderId="0" xfId="0" applyNumberFormat="1" applyFont="1" applyFill="1" applyAlignment="1">
      <alignment vertical="top" wrapText="1"/>
    </xf>
    <xf numFmtId="166" fontId="16" fillId="11" borderId="0" xfId="0" applyNumberFormat="1" applyFont="1" applyFill="1" applyAlignment="1">
      <alignment vertical="top" wrapText="1"/>
    </xf>
    <xf numFmtId="1" fontId="16" fillId="11" borderId="0" xfId="0" applyNumberFormat="1" applyFont="1" applyFill="1" applyAlignment="1">
      <alignment horizontal="center" vertical="top" wrapText="1"/>
    </xf>
    <xf numFmtId="1" fontId="16" fillId="11" borderId="0" xfId="0" applyNumberFormat="1" applyFont="1" applyFill="1" applyAlignment="1">
      <alignment vertical="top" wrapText="1"/>
    </xf>
    <xf numFmtId="2" fontId="16" fillId="11" borderId="0" xfId="0" applyNumberFormat="1" applyFont="1" applyFill="1" applyAlignment="1">
      <alignment vertical="top" wrapText="1"/>
    </xf>
    <xf numFmtId="170" fontId="16" fillId="11" borderId="0" xfId="0" applyNumberFormat="1" applyFont="1" applyFill="1" applyAlignment="1">
      <alignment vertical="top" wrapText="1"/>
    </xf>
    <xf numFmtId="0" fontId="18" fillId="11" borderId="20" xfId="0" applyFont="1" applyFill="1" applyBorder="1" applyAlignment="1">
      <alignment vertical="top" wrapText="1"/>
    </xf>
    <xf numFmtId="0" fontId="18" fillId="11" borderId="19" xfId="0" applyFont="1" applyFill="1" applyBorder="1" applyAlignment="1">
      <alignment vertical="top" wrapText="1"/>
    </xf>
    <xf numFmtId="171" fontId="16" fillId="11" borderId="0" xfId="0" applyNumberFormat="1" applyFont="1" applyFill="1" applyAlignment="1">
      <alignment vertical="top" wrapText="1"/>
    </xf>
    <xf numFmtId="0" fontId="19" fillId="10" borderId="21" xfId="0" applyFont="1" applyFill="1" applyBorder="1" applyAlignment="1">
      <alignment vertical="top" wrapText="1"/>
    </xf>
    <xf numFmtId="0" fontId="18" fillId="11" borderId="20" xfId="0" applyFont="1" applyFill="1" applyBorder="1" applyAlignment="1">
      <alignment horizontal="center" vertical="top" wrapText="1"/>
    </xf>
    <xf numFmtId="0" fontId="0" fillId="11" borderId="19" xfId="0" applyFill="1" applyBorder="1" applyAlignment="1">
      <alignment vertical="top" wrapText="1"/>
    </xf>
    <xf numFmtId="0" fontId="0" fillId="10" borderId="21" xfId="0" applyFill="1" applyBorder="1" applyAlignment="1">
      <alignment vertical="top" wrapText="1"/>
    </xf>
    <xf numFmtId="170" fontId="16" fillId="11" borderId="19" xfId="0" applyNumberFormat="1" applyFont="1" applyFill="1" applyBorder="1" applyAlignment="1">
      <alignment vertical="top" wrapText="1"/>
    </xf>
    <xf numFmtId="2" fontId="16" fillId="11" borderId="19" xfId="0" applyNumberFormat="1" applyFont="1" applyFill="1" applyBorder="1" applyAlignment="1">
      <alignment vertical="top" wrapText="1"/>
    </xf>
    <xf numFmtId="0" fontId="2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5" fillId="11" borderId="0" xfId="0" applyFont="1" applyFill="1" applyAlignment="1">
      <alignment vertical="top" wrapText="1"/>
    </xf>
    <xf numFmtId="0" fontId="25" fillId="11" borderId="19" xfId="0" applyFont="1" applyFill="1" applyBorder="1" applyAlignment="1">
      <alignment vertical="top" wrapText="1"/>
    </xf>
    <xf numFmtId="0" fontId="23" fillId="10" borderId="20" xfId="0" applyFont="1" applyFill="1" applyBorder="1" applyAlignment="1">
      <alignment vertical="top" wrapText="1"/>
    </xf>
    <xf numFmtId="170" fontId="26" fillId="11" borderId="0" xfId="0" applyNumberFormat="1" applyFont="1" applyFill="1" applyAlignment="1">
      <alignment vertical="top" wrapText="1"/>
    </xf>
    <xf numFmtId="169" fontId="26" fillId="11" borderId="0" xfId="0" applyNumberFormat="1" applyFont="1" applyFill="1" applyAlignment="1">
      <alignment vertical="top" wrapText="1"/>
    </xf>
    <xf numFmtId="3" fontId="26" fillId="11" borderId="0" xfId="0" applyNumberFormat="1" applyFont="1" applyFill="1" applyAlignment="1">
      <alignment vertical="top" wrapText="1"/>
    </xf>
    <xf numFmtId="171" fontId="26" fillId="11" borderId="0" xfId="0" applyNumberFormat="1" applyFont="1" applyFill="1" applyAlignment="1">
      <alignment vertical="top" wrapText="1"/>
    </xf>
    <xf numFmtId="2" fontId="26" fillId="11" borderId="0" xfId="0" applyNumberFormat="1" applyFont="1" applyFill="1" applyAlignment="1">
      <alignment vertical="top" wrapText="1"/>
    </xf>
    <xf numFmtId="168" fontId="26" fillId="11" borderId="0" xfId="0" applyNumberFormat="1" applyFont="1" applyFill="1" applyAlignment="1">
      <alignment vertical="top" wrapText="1"/>
    </xf>
    <xf numFmtId="166" fontId="26" fillId="11" borderId="19" xfId="0" applyNumberFormat="1" applyFont="1" applyFill="1" applyBorder="1" applyAlignment="1">
      <alignment vertical="top" wrapText="1"/>
    </xf>
    <xf numFmtId="0" fontId="23" fillId="10" borderId="0" xfId="0" applyFont="1" applyFill="1" applyAlignment="1">
      <alignment vertical="top" wrapText="1"/>
    </xf>
    <xf numFmtId="3" fontId="25" fillId="11" borderId="0" xfId="0" applyNumberFormat="1" applyFont="1" applyFill="1" applyAlignment="1">
      <alignment vertical="top" wrapText="1"/>
    </xf>
    <xf numFmtId="37" fontId="25" fillId="11" borderId="0" xfId="0" applyNumberFormat="1" applyFont="1" applyFill="1" applyAlignment="1">
      <alignment horizontal="left" vertical="top" wrapText="1"/>
    </xf>
    <xf numFmtId="166" fontId="2" fillId="0" borderId="0" xfId="2" applyNumberFormat="1" applyAlignment="1">
      <alignment horizontal="right" vertical="top"/>
    </xf>
    <xf numFmtId="166" fontId="27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70" fontId="2" fillId="0" borderId="0" xfId="2" applyNumberFormat="1" applyAlignment="1">
      <alignment horizontal="left" vertical="top"/>
    </xf>
    <xf numFmtId="0" fontId="28" fillId="12" borderId="0" xfId="2" applyFont="1" applyFill="1" applyAlignment="1">
      <alignment vertical="top" wrapText="1"/>
    </xf>
    <xf numFmtId="169" fontId="29" fillId="12" borderId="0" xfId="2" applyNumberFormat="1" applyFont="1" applyFill="1" applyAlignment="1">
      <alignment vertical="top" wrapText="1"/>
    </xf>
    <xf numFmtId="9" fontId="29" fillId="12" borderId="0" xfId="2" applyNumberFormat="1" applyFont="1" applyFill="1" applyAlignment="1">
      <alignment vertical="top" wrapText="1"/>
    </xf>
    <xf numFmtId="1" fontId="29" fillId="12" borderId="0" xfId="2" applyNumberFormat="1" applyFont="1" applyFill="1" applyAlignment="1">
      <alignment horizontal="center" vertical="top" wrapText="1"/>
    </xf>
    <xf numFmtId="0" fontId="28" fillId="12" borderId="0" xfId="2" applyFont="1" applyFill="1" applyAlignment="1">
      <alignment horizontal="center" vertical="top" wrapText="1"/>
    </xf>
    <xf numFmtId="169" fontId="29" fillId="12" borderId="0" xfId="2" applyNumberFormat="1" applyFont="1" applyFill="1" applyAlignment="1">
      <alignment horizontal="center" vertical="top" wrapText="1"/>
    </xf>
    <xf numFmtId="9" fontId="29" fillId="12" borderId="0" xfId="2" applyNumberFormat="1" applyFont="1" applyFill="1" applyAlignment="1">
      <alignment horizontal="center" vertical="top" wrapText="1"/>
    </xf>
    <xf numFmtId="169" fontId="29" fillId="11" borderId="0" xfId="2" applyNumberFormat="1" applyFont="1" applyFill="1" applyAlignment="1">
      <alignment vertical="top" wrapText="1"/>
    </xf>
    <xf numFmtId="9" fontId="29" fillId="11" borderId="0" xfId="2" applyNumberFormat="1" applyFont="1" applyFill="1" applyAlignment="1">
      <alignment vertical="top" wrapText="1"/>
    </xf>
    <xf numFmtId="1" fontId="29" fillId="11" borderId="0" xfId="2" applyNumberFormat="1" applyFont="1" applyFill="1" applyAlignment="1">
      <alignment horizontal="center" vertical="top" wrapText="1"/>
    </xf>
    <xf numFmtId="169" fontId="29" fillId="11" borderId="0" xfId="2" applyNumberFormat="1" applyFont="1" applyFill="1" applyAlignment="1">
      <alignment horizontal="center" vertical="top" wrapText="1"/>
    </xf>
    <xf numFmtId="9" fontId="29" fillId="11" borderId="0" xfId="2" applyNumberFormat="1" applyFont="1" applyFill="1" applyAlignment="1">
      <alignment horizontal="center" vertical="top" wrapText="1"/>
    </xf>
    <xf numFmtId="0" fontId="28" fillId="10" borderId="0" xfId="2" applyFont="1" applyFill="1" applyAlignment="1">
      <alignment horizontal="center" vertical="top" wrapText="1"/>
    </xf>
    <xf numFmtId="0" fontId="31" fillId="10" borderId="0" xfId="2" applyFont="1" applyFill="1" applyAlignment="1">
      <alignment vertical="top" wrapText="1"/>
    </xf>
    <xf numFmtId="0" fontId="28" fillId="10" borderId="0" xfId="2" applyFont="1" applyFill="1" applyAlignment="1">
      <alignment vertical="top" wrapText="1"/>
    </xf>
    <xf numFmtId="0" fontId="28" fillId="13" borderId="0" xfId="2" applyFont="1" applyFill="1" applyAlignment="1">
      <alignment horizontal="center" vertical="top" wrapText="1"/>
    </xf>
    <xf numFmtId="0" fontId="31" fillId="13" borderId="0" xfId="2" applyFont="1" applyFill="1" applyAlignment="1">
      <alignment horizontal="center" vertical="top" wrapText="1"/>
    </xf>
    <xf numFmtId="0" fontId="6" fillId="0" borderId="0" xfId="2" applyFont="1" applyAlignment="1">
      <alignment horizontal="left" vertical="top"/>
    </xf>
    <xf numFmtId="0" fontId="15" fillId="10" borderId="0" xfId="0" applyFont="1" applyFill="1" applyAlignment="1">
      <alignment horizontal="center" vertical="top" wrapText="1"/>
    </xf>
    <xf numFmtId="172" fontId="4" fillId="2" borderId="0" xfId="2" applyNumberFormat="1" applyFont="1" applyFill="1" applyAlignment="1">
      <alignment horizontal="center" vertical="top"/>
    </xf>
    <xf numFmtId="0" fontId="2" fillId="0" borderId="0" xfId="2" applyAlignment="1">
      <alignment horizontal="right" vertical="top"/>
    </xf>
    <xf numFmtId="0" fontId="23" fillId="0" borderId="0" xfId="0" applyFont="1" applyAlignment="1">
      <alignment vertical="top" wrapText="1"/>
    </xf>
    <xf numFmtId="166" fontId="26" fillId="0" borderId="0" xfId="0" applyNumberFormat="1" applyFont="1" applyAlignment="1">
      <alignment vertical="top" wrapText="1"/>
    </xf>
    <xf numFmtId="168" fontId="26" fillId="0" borderId="0" xfId="0" applyNumberFormat="1" applyFont="1" applyAlignment="1">
      <alignment vertical="top" wrapText="1"/>
    </xf>
    <xf numFmtId="2" fontId="26" fillId="0" borderId="0" xfId="0" applyNumberFormat="1" applyFont="1" applyAlignment="1">
      <alignment vertical="top" wrapText="1"/>
    </xf>
    <xf numFmtId="170" fontId="26" fillId="0" borderId="0" xfId="0" applyNumberFormat="1" applyFont="1" applyAlignment="1">
      <alignment vertical="top" wrapText="1"/>
    </xf>
    <xf numFmtId="169" fontId="26" fillId="0" borderId="0" xfId="0" applyNumberFormat="1" applyFont="1" applyAlignment="1">
      <alignment vertical="top" wrapText="1"/>
    </xf>
    <xf numFmtId="0" fontId="19" fillId="10" borderId="0" xfId="0" applyFont="1" applyFill="1" applyAlignment="1">
      <alignment horizontal="center" vertical="top" wrapText="1"/>
    </xf>
    <xf numFmtId="164" fontId="4" fillId="2" borderId="0" xfId="3" applyNumberFormat="1" applyFont="1" applyFill="1" applyBorder="1" applyAlignment="1">
      <alignment horizontal="center" vertical="top"/>
    </xf>
    <xf numFmtId="9" fontId="2" fillId="0" borderId="0" xfId="2" applyNumberFormat="1" applyAlignment="1">
      <alignment horizontal="left" vertical="top"/>
    </xf>
    <xf numFmtId="9" fontId="2" fillId="0" borderId="0" xfId="4" applyFont="1" applyAlignment="1">
      <alignment horizontal="left" vertical="top"/>
    </xf>
    <xf numFmtId="3" fontId="11" fillId="0" borderId="8" xfId="4" applyNumberFormat="1" applyFont="1" applyBorder="1" applyAlignment="1">
      <alignment horizontal="center" vertical="top" wrapText="1"/>
    </xf>
    <xf numFmtId="0" fontId="18" fillId="11" borderId="0" xfId="0" applyFont="1" applyFill="1" applyAlignment="1">
      <alignment horizontal="left" vertical="top" wrapText="1"/>
    </xf>
    <xf numFmtId="0" fontId="18" fillId="11" borderId="19" xfId="0" applyFont="1" applyFill="1" applyBorder="1" applyAlignment="1">
      <alignment horizontal="left" vertical="top" wrapText="1"/>
    </xf>
    <xf numFmtId="0" fontId="0" fillId="0" borderId="0" xfId="0" applyAlignment="1">
      <alignment wrapText="1"/>
    </xf>
    <xf numFmtId="0" fontId="33" fillId="0" borderId="0" xfId="0" applyFont="1"/>
    <xf numFmtId="0" fontId="35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/>
    </xf>
    <xf numFmtId="0" fontId="35" fillId="14" borderId="0" xfId="0" applyFont="1" applyFill="1" applyAlignment="1">
      <alignment horizontal="left" vertical="center"/>
    </xf>
    <xf numFmtId="166" fontId="0" fillId="0" borderId="0" xfId="0" applyNumberFormat="1"/>
    <xf numFmtId="0" fontId="33" fillId="0" borderId="4" xfId="0" applyFont="1" applyBorder="1"/>
    <xf numFmtId="0" fontId="33" fillId="0" borderId="18" xfId="0" applyFont="1" applyBorder="1"/>
    <xf numFmtId="0" fontId="33" fillId="0" borderId="18" xfId="0" applyFont="1" applyBorder="1" applyAlignment="1">
      <alignment wrapText="1"/>
    </xf>
    <xf numFmtId="0" fontId="33" fillId="0" borderId="6" xfId="0" applyFont="1" applyBorder="1"/>
    <xf numFmtId="0" fontId="0" fillId="0" borderId="23" xfId="0" applyBorder="1"/>
    <xf numFmtId="0" fontId="0" fillId="0" borderId="2" xfId="0" applyBorder="1"/>
    <xf numFmtId="0" fontId="0" fillId="0" borderId="24" xfId="0" applyBorder="1"/>
    <xf numFmtId="0" fontId="0" fillId="0" borderId="25" xfId="0" applyBorder="1"/>
    <xf numFmtId="0" fontId="0" fillId="0" borderId="3" xfId="0" applyBorder="1"/>
    <xf numFmtId="0" fontId="0" fillId="0" borderId="26" xfId="0" applyBorder="1"/>
    <xf numFmtId="0" fontId="25" fillId="16" borderId="27" xfId="0" applyFont="1" applyFill="1" applyBorder="1" applyAlignment="1">
      <alignment vertical="top" wrapText="1"/>
    </xf>
    <xf numFmtId="0" fontId="0" fillId="15" borderId="27" xfId="0" applyFill="1" applyBorder="1" applyAlignment="1">
      <alignment vertical="top" wrapText="1"/>
    </xf>
    <xf numFmtId="0" fontId="0" fillId="15" borderId="28" xfId="0" applyFill="1" applyBorder="1" applyAlignment="1">
      <alignment vertical="top" wrapText="1"/>
    </xf>
    <xf numFmtId="1" fontId="41" fillId="16" borderId="27" xfId="0" applyNumberFormat="1" applyFont="1" applyFill="1" applyBorder="1" applyAlignment="1">
      <alignment vertical="top" wrapText="1"/>
    </xf>
    <xf numFmtId="170" fontId="41" fillId="16" borderId="27" xfId="0" applyNumberFormat="1" applyFont="1" applyFill="1" applyBorder="1" applyAlignment="1">
      <alignment vertical="top" wrapText="1"/>
    </xf>
    <xf numFmtId="0" fontId="39" fillId="15" borderId="27" xfId="0" applyFont="1" applyFill="1" applyBorder="1" applyAlignment="1">
      <alignment vertical="top" wrapText="1"/>
    </xf>
    <xf numFmtId="2" fontId="41" fillId="16" borderId="27" xfId="0" applyNumberFormat="1" applyFont="1" applyFill="1" applyBorder="1" applyAlignment="1">
      <alignment vertical="top" wrapText="1"/>
    </xf>
    <xf numFmtId="168" fontId="41" fillId="16" borderId="27" xfId="0" applyNumberFormat="1" applyFont="1" applyFill="1" applyBorder="1" applyAlignment="1">
      <alignment vertical="top" wrapText="1"/>
    </xf>
    <xf numFmtId="0" fontId="39" fillId="15" borderId="22" xfId="0" applyFont="1" applyFill="1" applyBorder="1" applyAlignment="1">
      <alignment horizontal="left" vertical="top" wrapText="1" indent="1"/>
    </xf>
    <xf numFmtId="0" fontId="39" fillId="15" borderId="42" xfId="0" applyFont="1" applyFill="1" applyBorder="1" applyAlignment="1">
      <alignment horizontal="left" vertical="top" wrapText="1" indent="1"/>
    </xf>
    <xf numFmtId="0" fontId="25" fillId="0" borderId="42" xfId="0" applyFont="1" applyBorder="1" applyAlignment="1">
      <alignment horizontal="left" vertical="center" wrapText="1"/>
    </xf>
    <xf numFmtId="0" fontId="25" fillId="0" borderId="42" xfId="0" applyFont="1" applyBorder="1" applyAlignment="1">
      <alignment horizontal="center" vertical="top" wrapText="1"/>
    </xf>
    <xf numFmtId="0" fontId="25" fillId="0" borderId="38" xfId="0" applyFont="1" applyBorder="1" applyAlignment="1">
      <alignment vertical="center" wrapText="1"/>
    </xf>
    <xf numFmtId="0" fontId="25" fillId="16" borderId="38" xfId="0" applyFont="1" applyFill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7" xfId="0" applyFont="1" applyBorder="1" applyAlignment="1">
      <alignment vertical="top" wrapText="1"/>
    </xf>
    <xf numFmtId="0" fontId="25" fillId="0" borderId="28" xfId="0" applyFont="1" applyBorder="1" applyAlignment="1">
      <alignment vertical="top" wrapText="1"/>
    </xf>
    <xf numFmtId="0" fontId="39" fillId="15" borderId="37" xfId="0" applyFont="1" applyFill="1" applyBorder="1" applyAlignment="1">
      <alignment vertical="center" wrapText="1"/>
    </xf>
    <xf numFmtId="0" fontId="39" fillId="15" borderId="41" xfId="0" applyFont="1" applyFill="1" applyBorder="1" applyAlignment="1">
      <alignment vertical="center" wrapText="1"/>
    </xf>
    <xf numFmtId="0" fontId="39" fillId="15" borderId="31" xfId="0" applyFont="1" applyFill="1" applyBorder="1" applyAlignment="1">
      <alignment vertical="center" wrapText="1"/>
    </xf>
    <xf numFmtId="0" fontId="39" fillId="15" borderId="33" xfId="0" applyFont="1" applyFill="1" applyBorder="1" applyAlignment="1">
      <alignment vertical="center" wrapText="1"/>
    </xf>
    <xf numFmtId="166" fontId="41" fillId="0" borderId="38" xfId="0" applyNumberFormat="1" applyFont="1" applyBorder="1" applyAlignment="1">
      <alignment vertical="center" wrapText="1"/>
    </xf>
    <xf numFmtId="0" fontId="0" fillId="16" borderId="36" xfId="0" applyFill="1" applyBorder="1" applyAlignment="1">
      <alignment wrapText="1"/>
    </xf>
    <xf numFmtId="0" fontId="0" fillId="16" borderId="43" xfId="0" applyFill="1" applyBorder="1" applyAlignment="1">
      <alignment wrapText="1"/>
    </xf>
    <xf numFmtId="0" fontId="0" fillId="16" borderId="40" xfId="0" applyFill="1" applyBorder="1" applyAlignment="1">
      <alignment wrapText="1"/>
    </xf>
    <xf numFmtId="3" fontId="41" fillId="16" borderId="38" xfId="0" applyNumberFormat="1" applyFont="1" applyFill="1" applyBorder="1" applyAlignment="1">
      <alignment vertical="top" wrapText="1"/>
    </xf>
    <xf numFmtId="170" fontId="41" fillId="16" borderId="38" xfId="0" applyNumberFormat="1" applyFont="1" applyFill="1" applyBorder="1" applyAlignment="1">
      <alignment vertical="top" wrapText="1"/>
    </xf>
    <xf numFmtId="3" fontId="41" fillId="0" borderId="38" xfId="0" applyNumberFormat="1" applyFont="1" applyBorder="1" applyAlignment="1">
      <alignment vertical="top" wrapText="1"/>
    </xf>
    <xf numFmtId="170" fontId="41" fillId="0" borderId="38" xfId="0" applyNumberFormat="1" applyFont="1" applyBorder="1" applyAlignment="1">
      <alignment vertical="top" wrapText="1"/>
    </xf>
    <xf numFmtId="1" fontId="41" fillId="16" borderId="38" xfId="0" applyNumberFormat="1" applyFont="1" applyFill="1" applyBorder="1" applyAlignment="1">
      <alignment vertical="top" wrapText="1"/>
    </xf>
    <xf numFmtId="166" fontId="41" fillId="0" borderId="38" xfId="0" applyNumberFormat="1" applyFont="1" applyBorder="1" applyAlignment="1">
      <alignment vertical="top" wrapText="1"/>
    </xf>
    <xf numFmtId="1" fontId="41" fillId="0" borderId="38" xfId="0" applyNumberFormat="1" applyFont="1" applyBorder="1" applyAlignment="1">
      <alignment vertical="top" wrapText="1"/>
    </xf>
    <xf numFmtId="0" fontId="0" fillId="0" borderId="36" xfId="0" applyBorder="1" applyAlignment="1">
      <alignment wrapText="1"/>
    </xf>
    <xf numFmtId="0" fontId="0" fillId="0" borderId="43" xfId="0" applyBorder="1" applyAlignment="1">
      <alignment wrapText="1"/>
    </xf>
    <xf numFmtId="0" fontId="0" fillId="0" borderId="40" xfId="0" applyBorder="1" applyAlignment="1">
      <alignment wrapText="1"/>
    </xf>
    <xf numFmtId="175" fontId="41" fillId="0" borderId="27" xfId="0" applyNumberFormat="1" applyFont="1" applyBorder="1" applyAlignment="1">
      <alignment vertical="top" wrapText="1"/>
    </xf>
    <xf numFmtId="170" fontId="41" fillId="0" borderId="27" xfId="0" applyNumberFormat="1" applyFont="1" applyBorder="1" applyAlignment="1">
      <alignment vertical="top" wrapText="1"/>
    </xf>
    <xf numFmtId="0" fontId="0" fillId="15" borderId="38" xfId="0" applyFill="1" applyBorder="1" applyAlignment="1">
      <alignment vertical="top" wrapText="1"/>
    </xf>
    <xf numFmtId="0" fontId="0" fillId="15" borderId="39" xfId="0" applyFill="1" applyBorder="1" applyAlignment="1">
      <alignment vertical="top" wrapText="1"/>
    </xf>
    <xf numFmtId="0" fontId="39" fillId="15" borderId="38" xfId="0" applyFont="1" applyFill="1" applyBorder="1" applyAlignment="1">
      <alignment vertical="top" wrapText="1"/>
    </xf>
    <xf numFmtId="3" fontId="41" fillId="0" borderId="27" xfId="0" applyNumberFormat="1" applyFont="1" applyBorder="1" applyAlignment="1">
      <alignment vertical="top" wrapText="1"/>
    </xf>
    <xf numFmtId="1" fontId="41" fillId="0" borderId="27" xfId="0" applyNumberFormat="1" applyFont="1" applyBorder="1" applyAlignment="1">
      <alignment vertical="top" wrapText="1"/>
    </xf>
    <xf numFmtId="0" fontId="0" fillId="0" borderId="29" xfId="0" applyBorder="1" applyAlignment="1">
      <alignment wrapText="1"/>
    </xf>
    <xf numFmtId="0" fontId="0" fillId="0" borderId="35" xfId="0" applyBorder="1" applyAlignment="1">
      <alignment wrapText="1"/>
    </xf>
    <xf numFmtId="0" fontId="0" fillId="0" borderId="30" xfId="0" applyBorder="1" applyAlignment="1">
      <alignment wrapText="1"/>
    </xf>
    <xf numFmtId="0" fontId="25" fillId="16" borderId="29" xfId="0" applyFont="1" applyFill="1" applyBorder="1" applyAlignment="1">
      <alignment vertical="top" wrapText="1"/>
    </xf>
    <xf numFmtId="0" fontId="25" fillId="16" borderId="35" xfId="0" applyFont="1" applyFill="1" applyBorder="1" applyAlignment="1">
      <alignment vertical="top" wrapText="1"/>
    </xf>
    <xf numFmtId="0" fontId="25" fillId="16" borderId="30" xfId="0" applyFont="1" applyFill="1" applyBorder="1" applyAlignment="1">
      <alignment vertical="top" wrapText="1"/>
    </xf>
    <xf numFmtId="3" fontId="41" fillId="16" borderId="27" xfId="0" applyNumberFormat="1" applyFont="1" applyFill="1" applyBorder="1" applyAlignment="1">
      <alignment vertical="top" wrapText="1"/>
    </xf>
    <xf numFmtId="166" fontId="41" fillId="16" borderId="27" xfId="0" applyNumberFormat="1" applyFont="1" applyFill="1" applyBorder="1" applyAlignment="1">
      <alignment vertical="top" wrapText="1"/>
    </xf>
    <xf numFmtId="0" fontId="25" fillId="0" borderId="29" xfId="0" applyFont="1" applyBorder="1" applyAlignment="1">
      <alignment vertical="top" wrapText="1"/>
    </xf>
    <xf numFmtId="0" fontId="25" fillId="0" borderId="35" xfId="0" applyFont="1" applyBorder="1" applyAlignment="1">
      <alignment vertical="top" wrapText="1"/>
    </xf>
    <xf numFmtId="0" fontId="25" fillId="0" borderId="30" xfId="0" applyFont="1" applyBorder="1" applyAlignment="1">
      <alignment vertical="top" wrapText="1"/>
    </xf>
    <xf numFmtId="0" fontId="0" fillId="16" borderId="29" xfId="0" applyFill="1" applyBorder="1" applyAlignment="1">
      <alignment wrapText="1"/>
    </xf>
    <xf numFmtId="0" fontId="0" fillId="16" borderId="35" xfId="0" applyFill="1" applyBorder="1" applyAlignment="1">
      <alignment wrapText="1"/>
    </xf>
    <xf numFmtId="0" fontId="0" fillId="16" borderId="30" xfId="0" applyFill="1" applyBorder="1" applyAlignment="1">
      <alignment wrapText="1"/>
    </xf>
    <xf numFmtId="166" fontId="41" fillId="0" borderId="27" xfId="0" applyNumberFormat="1" applyFont="1" applyBorder="1" applyAlignment="1">
      <alignment vertical="top" wrapText="1"/>
    </xf>
    <xf numFmtId="0" fontId="25" fillId="0" borderId="29" xfId="0" applyFont="1" applyBorder="1" applyAlignment="1">
      <alignment wrapText="1"/>
    </xf>
    <xf numFmtId="0" fontId="25" fillId="0" borderId="35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0" fontId="14" fillId="13" borderId="0" xfId="0" applyFont="1" applyFill="1" applyAlignment="1">
      <alignment vertical="top" wrapText="1"/>
    </xf>
    <xf numFmtId="168" fontId="16" fillId="11" borderId="0" xfId="0" applyNumberFormat="1" applyFont="1" applyFill="1" applyAlignment="1">
      <alignment vertical="top" wrapText="1"/>
    </xf>
    <xf numFmtId="0" fontId="0" fillId="13" borderId="21" xfId="0" applyFill="1" applyBorder="1" applyAlignment="1">
      <alignment vertical="top" wrapText="1"/>
    </xf>
    <xf numFmtId="0" fontId="19" fillId="13" borderId="21" xfId="0" applyFont="1" applyFill="1" applyBorder="1" applyAlignment="1">
      <alignment vertical="top" wrapText="1"/>
    </xf>
    <xf numFmtId="166" fontId="16" fillId="11" borderId="19" xfId="0" applyNumberFormat="1" applyFont="1" applyFill="1" applyBorder="1" applyAlignment="1">
      <alignment vertical="top" wrapText="1"/>
    </xf>
    <xf numFmtId="176" fontId="16" fillId="11" borderId="0" xfId="0" applyNumberFormat="1" applyFont="1" applyFill="1" applyAlignment="1">
      <alignment vertical="top" wrapText="1"/>
    </xf>
    <xf numFmtId="177" fontId="26" fillId="11" borderId="0" xfId="0" applyNumberFormat="1" applyFont="1" applyFill="1" applyAlignment="1">
      <alignment vertical="top" wrapText="1"/>
    </xf>
    <xf numFmtId="1" fontId="26" fillId="11" borderId="0" xfId="0" applyNumberFormat="1" applyFont="1" applyFill="1" applyAlignment="1">
      <alignment vertical="top" wrapText="1"/>
    </xf>
    <xf numFmtId="9" fontId="26" fillId="11" borderId="0" xfId="0" applyNumberFormat="1" applyFont="1" applyFill="1" applyAlignment="1">
      <alignment vertical="top" wrapText="1"/>
    </xf>
    <xf numFmtId="0" fontId="0" fillId="17" borderId="0" xfId="0" applyFill="1"/>
    <xf numFmtId="0" fontId="0" fillId="17" borderId="0" xfId="0" applyFill="1" applyAlignment="1">
      <alignment vertical="center"/>
    </xf>
    <xf numFmtId="0" fontId="0" fillId="17" borderId="0" xfId="0" applyFill="1" applyAlignment="1">
      <alignment horizontal="center" wrapText="1"/>
    </xf>
    <xf numFmtId="0" fontId="0" fillId="17" borderId="2" xfId="0" applyFill="1" applyBorder="1"/>
    <xf numFmtId="0" fontId="0" fillId="17" borderId="0" xfId="0" applyFill="1" applyAlignment="1">
      <alignment horizontal="center"/>
    </xf>
    <xf numFmtId="0" fontId="0" fillId="17" borderId="2" xfId="0" applyFill="1" applyBorder="1" applyAlignment="1">
      <alignment wrapText="1"/>
    </xf>
    <xf numFmtId="0" fontId="0" fillId="17" borderId="0" xfId="0" applyFill="1" applyAlignment="1">
      <alignment horizontal="left" wrapText="1"/>
    </xf>
    <xf numFmtId="0" fontId="33" fillId="17" borderId="2" xfId="0" applyFont="1" applyFill="1" applyBorder="1" applyAlignment="1">
      <alignment horizontal="center"/>
    </xf>
    <xf numFmtId="0" fontId="2" fillId="17" borderId="0" xfId="2" applyFill="1" applyAlignment="1">
      <alignment horizontal="left" vertical="top"/>
    </xf>
    <xf numFmtId="0" fontId="33" fillId="17" borderId="0" xfId="0" applyFont="1" applyFill="1"/>
    <xf numFmtId="0" fontId="33" fillId="17" borderId="2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/>
    </xf>
    <xf numFmtId="0" fontId="0" fillId="18" borderId="2" xfId="0" applyFill="1" applyBorder="1" applyAlignment="1">
      <alignment horizontal="center" wrapText="1"/>
    </xf>
    <xf numFmtId="0" fontId="0" fillId="18" borderId="2" xfId="0" applyFill="1" applyBorder="1"/>
    <xf numFmtId="0" fontId="0" fillId="8" borderId="2" xfId="0" applyFill="1" applyBorder="1"/>
    <xf numFmtId="0" fontId="0" fillId="21" borderId="0" xfId="0" applyFill="1"/>
    <xf numFmtId="0" fontId="0" fillId="22" borderId="0" xfId="0" applyFill="1" applyAlignment="1">
      <alignment vertical="center"/>
    </xf>
    <xf numFmtId="0" fontId="33" fillId="23" borderId="2" xfId="0" applyFont="1" applyFill="1" applyBorder="1" applyAlignment="1">
      <alignment horizontal="center"/>
    </xf>
    <xf numFmtId="0" fontId="33" fillId="22" borderId="2" xfId="0" applyFont="1" applyFill="1" applyBorder="1" applyAlignment="1">
      <alignment horizontal="center"/>
    </xf>
    <xf numFmtId="0" fontId="33" fillId="24" borderId="2" xfId="0" applyFont="1" applyFill="1" applyBorder="1" applyAlignment="1">
      <alignment horizontal="center"/>
    </xf>
    <xf numFmtId="0" fontId="45" fillId="17" borderId="0" xfId="0" applyFont="1" applyFill="1" applyAlignment="1">
      <alignment vertical="center"/>
    </xf>
    <xf numFmtId="0" fontId="0" fillId="17" borderId="0" xfId="0" applyFill="1" applyAlignment="1">
      <alignment wrapText="1"/>
    </xf>
    <xf numFmtId="0" fontId="0" fillId="17" borderId="0" xfId="0" applyFill="1" applyAlignment="1">
      <alignment horizontal="left" vertical="center" wrapText="1"/>
    </xf>
    <xf numFmtId="0" fontId="0" fillId="0" borderId="0" xfId="0" applyAlignment="1">
      <alignment horizontal="center"/>
    </xf>
    <xf numFmtId="0" fontId="33" fillId="0" borderId="0" xfId="0" applyFont="1" applyAlignment="1">
      <alignment wrapText="1"/>
    </xf>
    <xf numFmtId="0" fontId="47" fillId="17" borderId="19" xfId="0" applyFont="1" applyFill="1" applyBorder="1" applyAlignment="1">
      <alignment horizontal="left" vertical="top" wrapText="1"/>
    </xf>
    <xf numFmtId="0" fontId="47" fillId="17" borderId="0" xfId="0" applyFont="1" applyFill="1" applyAlignment="1">
      <alignment horizontal="left" vertical="top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6" fillId="11" borderId="0" xfId="0" applyFont="1" applyFill="1" applyAlignment="1">
      <alignment vertical="top" wrapText="1"/>
    </xf>
    <xf numFmtId="0" fontId="46" fillId="27" borderId="0" xfId="0" applyFont="1" applyFill="1"/>
    <xf numFmtId="0" fontId="33" fillId="17" borderId="2" xfId="0" applyFont="1" applyFill="1" applyBorder="1"/>
    <xf numFmtId="0" fontId="33" fillId="17" borderId="2" xfId="0" applyFont="1" applyFill="1" applyBorder="1" applyAlignment="1">
      <alignment horizontal="center" wrapText="1"/>
    </xf>
    <xf numFmtId="0" fontId="33" fillId="17" borderId="3" xfId="0" applyFont="1" applyFill="1" applyBorder="1" applyAlignment="1">
      <alignment horizontal="center"/>
    </xf>
    <xf numFmtId="14" fontId="2" fillId="0" borderId="0" xfId="2" applyNumberFormat="1" applyAlignment="1">
      <alignment horizontal="left" vertical="top"/>
    </xf>
    <xf numFmtId="14" fontId="0" fillId="17" borderId="0" xfId="0" applyNumberFormat="1" applyFill="1"/>
    <xf numFmtId="3" fontId="0" fillId="18" borderId="2" xfId="0" applyNumberFormat="1" applyFill="1" applyBorder="1"/>
    <xf numFmtId="0" fontId="0" fillId="18" borderId="2" xfId="0" applyFill="1" applyBorder="1" applyAlignment="1">
      <alignment horizontal="center" vertical="center"/>
    </xf>
    <xf numFmtId="169" fontId="0" fillId="17" borderId="2" xfId="0" applyNumberFormat="1" applyFill="1" applyBorder="1"/>
    <xf numFmtId="0" fontId="0" fillId="8" borderId="2" xfId="0" applyFill="1" applyBorder="1" applyAlignment="1">
      <alignment horizontal="center"/>
    </xf>
    <xf numFmtId="9" fontId="0" fillId="18" borderId="2" xfId="0" applyNumberFormat="1" applyFill="1" applyBorder="1" applyAlignment="1">
      <alignment horizontal="center"/>
    </xf>
    <xf numFmtId="0" fontId="0" fillId="25" borderId="2" xfId="0" applyFill="1" applyBorder="1" applyAlignment="1">
      <alignment horizontal="center"/>
    </xf>
    <xf numFmtId="2" fontId="4" fillId="2" borderId="0" xfId="2" applyNumberFormat="1" applyFont="1" applyFill="1" applyAlignment="1">
      <alignment horizontal="center" vertical="top"/>
    </xf>
    <xf numFmtId="9" fontId="11" fillId="0" borderId="8" xfId="4" applyFont="1" applyBorder="1" applyAlignment="1">
      <alignment horizontal="center" vertical="top" wrapText="1"/>
    </xf>
    <xf numFmtId="0" fontId="0" fillId="21" borderId="0" xfId="0" applyFill="1" applyAlignment="1">
      <alignment horizontal="center" vertical="center"/>
    </xf>
    <xf numFmtId="0" fontId="33" fillId="17" borderId="18" xfId="0" applyFont="1" applyFill="1" applyBorder="1" applyAlignment="1">
      <alignment horizontal="center"/>
    </xf>
    <xf numFmtId="0" fontId="33" fillId="17" borderId="2" xfId="0" applyFont="1" applyFill="1" applyBorder="1" applyAlignment="1">
      <alignment vertical="center"/>
    </xf>
    <xf numFmtId="0" fontId="33" fillId="17" borderId="2" xfId="0" applyFont="1" applyFill="1" applyBorder="1" applyAlignment="1">
      <alignment horizontal="center" vertical="center" wrapText="1"/>
    </xf>
    <xf numFmtId="1" fontId="0" fillId="18" borderId="2" xfId="0" applyNumberFormat="1" applyFill="1" applyBorder="1"/>
    <xf numFmtId="173" fontId="33" fillId="17" borderId="0" xfId="0" applyNumberFormat="1" applyFont="1" applyFill="1" applyAlignment="1">
      <alignment wrapText="1"/>
    </xf>
    <xf numFmtId="178" fontId="11" fillId="0" borderId="8" xfId="2" applyNumberFormat="1" applyFont="1" applyBorder="1" applyAlignment="1">
      <alignment horizontal="center" vertical="top" wrapText="1"/>
    </xf>
    <xf numFmtId="179" fontId="0" fillId="17" borderId="2" xfId="0" applyNumberFormat="1" applyFill="1" applyBorder="1"/>
    <xf numFmtId="179" fontId="33" fillId="17" borderId="0" xfId="0" applyNumberFormat="1" applyFont="1" applyFill="1"/>
    <xf numFmtId="164" fontId="4" fillId="2" borderId="0" xfId="2" applyNumberFormat="1" applyFont="1" applyFill="1" applyAlignment="1">
      <alignment horizontal="left" vertical="top"/>
    </xf>
    <xf numFmtId="1" fontId="4" fillId="2" borderId="0" xfId="2" applyNumberFormat="1" applyFont="1" applyFill="1" applyAlignment="1">
      <alignment horizontal="right" vertical="top"/>
    </xf>
    <xf numFmtId="1" fontId="7" fillId="2" borderId="0" xfId="2" applyNumberFormat="1" applyFont="1" applyFill="1" applyAlignment="1">
      <alignment horizontal="left" vertical="center"/>
    </xf>
    <xf numFmtId="0" fontId="5" fillId="2" borderId="0" xfId="2" applyFont="1" applyFill="1" applyAlignment="1">
      <alignment horizontal="center" vertical="top"/>
    </xf>
    <xf numFmtId="0" fontId="9" fillId="2" borderId="0" xfId="2" applyFont="1" applyFill="1" applyAlignment="1">
      <alignment horizontal="center" vertical="top"/>
    </xf>
    <xf numFmtId="0" fontId="2" fillId="2" borderId="0" xfId="2" applyFill="1" applyAlignment="1">
      <alignment horizontal="center" vertical="top"/>
    </xf>
    <xf numFmtId="1" fontId="2" fillId="2" borderId="0" xfId="2" applyNumberFormat="1" applyFill="1" applyAlignment="1">
      <alignment horizontal="center" vertical="top"/>
    </xf>
    <xf numFmtId="0" fontId="9" fillId="2" borderId="2" xfId="2" applyFont="1" applyFill="1" applyBorder="1" applyAlignment="1">
      <alignment horizontal="center" vertical="center"/>
    </xf>
    <xf numFmtId="0" fontId="2" fillId="2" borderId="0" xfId="2" applyFill="1" applyAlignment="1">
      <alignment horizontal="left" vertical="center"/>
    </xf>
    <xf numFmtId="0" fontId="9" fillId="2" borderId="0" xfId="2" applyFont="1" applyFill="1" applyAlignment="1">
      <alignment horizontal="center" vertical="center"/>
    </xf>
    <xf numFmtId="0" fontId="6" fillId="2" borderId="0" xfId="2" applyFont="1" applyFill="1" applyAlignment="1">
      <alignment horizontal="left" vertical="center"/>
    </xf>
    <xf numFmtId="0" fontId="4" fillId="2" borderId="0" xfId="2" applyFont="1" applyFill="1" applyAlignment="1">
      <alignment horizontal="left" vertical="center"/>
    </xf>
    <xf numFmtId="164" fontId="4" fillId="2" borderId="0" xfId="2" applyNumberFormat="1" applyFont="1" applyFill="1" applyAlignment="1">
      <alignment horizontal="left" vertical="center"/>
    </xf>
    <xf numFmtId="166" fontId="4" fillId="2" borderId="0" xfId="2" applyNumberFormat="1" applyFont="1" applyFill="1" applyAlignment="1">
      <alignment horizontal="left" vertical="center"/>
    </xf>
    <xf numFmtId="0" fontId="4" fillId="2" borderId="0" xfId="2" applyFont="1" applyFill="1" applyAlignment="1">
      <alignment horizontal="center" vertical="center"/>
    </xf>
    <xf numFmtId="1" fontId="4" fillId="2" borderId="0" xfId="2" applyNumberFormat="1" applyFont="1" applyFill="1" applyAlignment="1">
      <alignment horizontal="left" vertical="center"/>
    </xf>
    <xf numFmtId="165" fontId="4" fillId="2" borderId="0" xfId="2" applyNumberFormat="1" applyFont="1" applyFill="1" applyAlignment="1">
      <alignment horizontal="left" vertical="top"/>
    </xf>
    <xf numFmtId="0" fontId="3" fillId="2" borderId="0" xfId="2" applyFont="1" applyFill="1" applyAlignment="1">
      <alignment horizontal="left" vertical="top"/>
    </xf>
    <xf numFmtId="0" fontId="10" fillId="2" borderId="0" xfId="2" applyFont="1" applyFill="1" applyAlignment="1">
      <alignment horizontal="left" vertical="top"/>
    </xf>
    <xf numFmtId="0" fontId="4" fillId="28" borderId="0" xfId="2" applyFont="1" applyFill="1" applyAlignment="1">
      <alignment horizontal="left" vertical="top"/>
    </xf>
    <xf numFmtId="166" fontId="4" fillId="28" borderId="0" xfId="2" applyNumberFormat="1" applyFont="1" applyFill="1" applyAlignment="1">
      <alignment horizontal="left" vertical="top"/>
    </xf>
    <xf numFmtId="0" fontId="4" fillId="28" borderId="0" xfId="2" applyFont="1" applyFill="1" applyAlignment="1">
      <alignment horizontal="center" vertical="top"/>
    </xf>
    <xf numFmtId="0" fontId="2" fillId="28" borderId="0" xfId="2" applyFill="1" applyAlignment="1">
      <alignment horizontal="left" vertical="top"/>
    </xf>
    <xf numFmtId="0" fontId="6" fillId="28" borderId="0" xfId="2" applyFont="1" applyFill="1" applyAlignment="1">
      <alignment horizontal="left" vertical="top"/>
    </xf>
    <xf numFmtId="0" fontId="8" fillId="28" borderId="0" xfId="2" applyFont="1" applyFill="1" applyAlignment="1">
      <alignment horizontal="left" vertical="top"/>
    </xf>
    <xf numFmtId="0" fontId="5" fillId="28" borderId="2" xfId="2" applyFont="1" applyFill="1" applyBorder="1" applyAlignment="1">
      <alignment horizontal="center" vertical="top"/>
    </xf>
    <xf numFmtId="0" fontId="5" fillId="28" borderId="2" xfId="2" applyFont="1" applyFill="1" applyBorder="1" applyAlignment="1">
      <alignment horizontal="left" vertical="top"/>
    </xf>
    <xf numFmtId="1" fontId="4" fillId="28" borderId="2" xfId="2" applyNumberFormat="1" applyFont="1" applyFill="1" applyBorder="1" applyAlignment="1">
      <alignment horizontal="right" vertical="top"/>
    </xf>
    <xf numFmtId="172" fontId="4" fillId="28" borderId="2" xfId="2" applyNumberFormat="1" applyFont="1" applyFill="1" applyBorder="1" applyAlignment="1">
      <alignment horizontal="right" vertical="top"/>
    </xf>
    <xf numFmtId="2" fontId="4" fillId="28" borderId="2" xfId="2" applyNumberFormat="1" applyFont="1" applyFill="1" applyBorder="1" applyAlignment="1">
      <alignment horizontal="right" vertical="top"/>
    </xf>
    <xf numFmtId="37" fontId="4" fillId="28" borderId="2" xfId="2" applyNumberFormat="1" applyFont="1" applyFill="1" applyBorder="1" applyAlignment="1">
      <alignment horizontal="right" vertical="top"/>
    </xf>
    <xf numFmtId="0" fontId="4" fillId="28" borderId="2" xfId="2" applyFont="1" applyFill="1" applyBorder="1" applyAlignment="1">
      <alignment horizontal="right" vertical="top"/>
    </xf>
    <xf numFmtId="166" fontId="4" fillId="28" borderId="2" xfId="2" applyNumberFormat="1" applyFont="1" applyFill="1" applyBorder="1" applyAlignment="1">
      <alignment horizontal="right" vertical="top"/>
    </xf>
    <xf numFmtId="179" fontId="4" fillId="28" borderId="2" xfId="3" applyNumberFormat="1" applyFont="1" applyFill="1" applyBorder="1" applyAlignment="1">
      <alignment horizontal="right" vertical="top"/>
    </xf>
    <xf numFmtId="173" fontId="0" fillId="18" borderId="2" xfId="0" applyNumberFormat="1" applyFill="1" applyBorder="1"/>
    <xf numFmtId="2" fontId="0" fillId="0" borderId="0" xfId="0" applyNumberFormat="1"/>
    <xf numFmtId="179" fontId="4" fillId="28" borderId="2" xfId="2" applyNumberFormat="1" applyFont="1" applyFill="1" applyBorder="1" applyAlignment="1">
      <alignment horizontal="right" vertical="top"/>
    </xf>
    <xf numFmtId="0" fontId="4" fillId="28" borderId="0" xfId="2" applyFont="1" applyFill="1" applyAlignment="1">
      <alignment horizontal="right" vertical="top"/>
    </xf>
    <xf numFmtId="180" fontId="4" fillId="8" borderId="0" xfId="2" applyNumberFormat="1" applyFont="1" applyFill="1" applyAlignment="1">
      <alignment horizontal="right" vertical="top"/>
    </xf>
    <xf numFmtId="0" fontId="4" fillId="31" borderId="0" xfId="2" applyFont="1" applyFill="1" applyAlignment="1">
      <alignment horizontal="right" vertical="top"/>
    </xf>
    <xf numFmtId="1" fontId="4" fillId="31" borderId="0" xfId="2" applyNumberFormat="1" applyFont="1" applyFill="1" applyAlignment="1">
      <alignment horizontal="right" vertical="top"/>
    </xf>
    <xf numFmtId="0" fontId="4" fillId="31" borderId="0" xfId="2" applyFont="1" applyFill="1" applyAlignment="1">
      <alignment horizontal="left" vertical="top"/>
    </xf>
    <xf numFmtId="1" fontId="4" fillId="31" borderId="2" xfId="2" applyNumberFormat="1" applyFont="1" applyFill="1" applyBorder="1" applyAlignment="1">
      <alignment horizontal="right" vertical="top"/>
    </xf>
    <xf numFmtId="166" fontId="4" fillId="31" borderId="0" xfId="2" applyNumberFormat="1" applyFont="1" applyFill="1" applyAlignment="1">
      <alignment horizontal="right" vertical="top"/>
    </xf>
    <xf numFmtId="0" fontId="4" fillId="31" borderId="2" xfId="2" applyFont="1" applyFill="1" applyBorder="1" applyAlignment="1">
      <alignment horizontal="right" vertical="top"/>
    </xf>
    <xf numFmtId="179" fontId="4" fillId="31" borderId="2" xfId="2" applyNumberFormat="1" applyFont="1" applyFill="1" applyBorder="1" applyAlignment="1">
      <alignment horizontal="right" vertical="top"/>
    </xf>
    <xf numFmtId="0" fontId="4" fillId="28" borderId="0" xfId="2" applyFont="1" applyFill="1" applyAlignment="1">
      <alignment horizontal="left" vertical="center"/>
    </xf>
    <xf numFmtId="0" fontId="4" fillId="28" borderId="0" xfId="2" applyFont="1" applyFill="1" applyAlignment="1">
      <alignment horizontal="right" vertical="center"/>
    </xf>
    <xf numFmtId="1" fontId="33" fillId="17" borderId="2" xfId="0" applyNumberFormat="1" applyFont="1" applyFill="1" applyBorder="1"/>
    <xf numFmtId="179" fontId="4" fillId="28" borderId="3" xfId="2" applyNumberFormat="1" applyFont="1" applyFill="1" applyBorder="1" applyAlignment="1">
      <alignment horizontal="right" vertical="top"/>
    </xf>
    <xf numFmtId="1" fontId="4" fillId="7" borderId="2" xfId="2" applyNumberFormat="1" applyFont="1" applyFill="1" applyBorder="1" applyAlignment="1">
      <alignment horizontal="right" vertical="center"/>
    </xf>
    <xf numFmtId="173" fontId="4" fillId="7" borderId="2" xfId="2" applyNumberFormat="1" applyFont="1" applyFill="1" applyBorder="1" applyAlignment="1">
      <alignment horizontal="right" vertical="center"/>
    </xf>
    <xf numFmtId="1" fontId="4" fillId="7" borderId="2" xfId="2" applyNumberFormat="1" applyFont="1" applyFill="1" applyBorder="1" applyAlignment="1">
      <alignment horizontal="right" vertical="top"/>
    </xf>
    <xf numFmtId="174" fontId="4" fillId="7" borderId="2" xfId="2" applyNumberFormat="1" applyFont="1" applyFill="1" applyBorder="1" applyAlignment="1">
      <alignment horizontal="right" vertical="center"/>
    </xf>
    <xf numFmtId="165" fontId="4" fillId="7" borderId="2" xfId="2" applyNumberFormat="1" applyFont="1" applyFill="1" applyBorder="1" applyAlignment="1">
      <alignment horizontal="right" vertical="center"/>
    </xf>
    <xf numFmtId="0" fontId="4" fillId="28" borderId="2" xfId="2" applyFont="1" applyFill="1" applyBorder="1" applyAlignment="1">
      <alignment horizontal="right" vertical="center"/>
    </xf>
    <xf numFmtId="166" fontId="5" fillId="28" borderId="2" xfId="2" applyNumberFormat="1" applyFont="1" applyFill="1" applyBorder="1" applyAlignment="1">
      <alignment horizontal="left" vertical="top"/>
    </xf>
    <xf numFmtId="1" fontId="4" fillId="28" borderId="2" xfId="2" applyNumberFormat="1" applyFont="1" applyFill="1" applyBorder="1" applyAlignment="1">
      <alignment horizontal="right" vertical="center"/>
    </xf>
    <xf numFmtId="174" fontId="4" fillId="28" borderId="2" xfId="2" applyNumberFormat="1" applyFont="1" applyFill="1" applyBorder="1" applyAlignment="1">
      <alignment horizontal="right" vertical="top"/>
    </xf>
    <xf numFmtId="179" fontId="4" fillId="28" borderId="2" xfId="2" applyNumberFormat="1" applyFont="1" applyFill="1" applyBorder="1" applyAlignment="1">
      <alignment horizontal="right" vertical="center"/>
    </xf>
    <xf numFmtId="1" fontId="0" fillId="18" borderId="2" xfId="0" applyNumberFormat="1" applyFill="1" applyBorder="1" applyAlignment="1">
      <alignment horizontal="center"/>
    </xf>
    <xf numFmtId="1" fontId="4" fillId="28" borderId="2" xfId="2" applyNumberFormat="1" applyFont="1" applyFill="1" applyBorder="1" applyAlignment="1">
      <alignment vertical="top"/>
    </xf>
    <xf numFmtId="172" fontId="4" fillId="28" borderId="2" xfId="2" applyNumberFormat="1" applyFont="1" applyFill="1" applyBorder="1" applyAlignment="1">
      <alignment vertical="top"/>
    </xf>
    <xf numFmtId="179" fontId="4" fillId="28" borderId="2" xfId="3" applyNumberFormat="1" applyFont="1" applyFill="1" applyBorder="1" applyAlignment="1">
      <alignment vertical="top"/>
    </xf>
    <xf numFmtId="2" fontId="4" fillId="28" borderId="2" xfId="2" applyNumberFormat="1" applyFont="1" applyFill="1" applyBorder="1" applyAlignment="1">
      <alignment vertical="top"/>
    </xf>
    <xf numFmtId="0" fontId="5" fillId="31" borderId="0" xfId="2" applyFont="1" applyFill="1" applyAlignment="1">
      <alignment horizontal="left" vertical="top"/>
    </xf>
    <xf numFmtId="0" fontId="5" fillId="28" borderId="0" xfId="2" applyFont="1" applyFill="1" applyAlignment="1">
      <alignment horizontal="left" vertical="center"/>
    </xf>
    <xf numFmtId="0" fontId="5" fillId="28" borderId="0" xfId="2" applyFont="1" applyFill="1" applyAlignment="1">
      <alignment horizontal="left" vertical="top"/>
    </xf>
    <xf numFmtId="0" fontId="5" fillId="2" borderId="0" xfId="2" applyFont="1" applyFill="1" applyAlignment="1">
      <alignment horizontal="right" vertical="top"/>
    </xf>
    <xf numFmtId="0" fontId="53" fillId="2" borderId="0" xfId="2" applyFont="1" applyFill="1" applyAlignment="1">
      <alignment horizontal="left" vertical="top"/>
    </xf>
    <xf numFmtId="0" fontId="5" fillId="2" borderId="0" xfId="2" applyFont="1" applyFill="1" applyAlignment="1">
      <alignment horizontal="left" vertical="center"/>
    </xf>
    <xf numFmtId="169" fontId="33" fillId="17" borderId="2" xfId="0" applyNumberFormat="1" applyFont="1" applyFill="1" applyBorder="1" applyAlignment="1">
      <alignment horizontal="center"/>
    </xf>
    <xf numFmtId="0" fontId="5" fillId="2" borderId="2" xfId="2" applyFont="1" applyFill="1" applyBorder="1" applyAlignment="1">
      <alignment horizontal="center" vertical="center"/>
    </xf>
    <xf numFmtId="0" fontId="8" fillId="2" borderId="0" xfId="2" applyFont="1" applyFill="1" applyAlignment="1">
      <alignment horizontal="left" vertical="top"/>
    </xf>
    <xf numFmtId="165" fontId="0" fillId="18" borderId="2" xfId="0" applyNumberFormat="1" applyFill="1" applyBorder="1" applyAlignment="1">
      <alignment horizontal="center"/>
    </xf>
    <xf numFmtId="0" fontId="0" fillId="33" borderId="0" xfId="0" applyFill="1"/>
    <xf numFmtId="0" fontId="0" fillId="21" borderId="0" xfId="0" applyFill="1" applyAlignment="1">
      <alignment horizontal="center"/>
    </xf>
    <xf numFmtId="1" fontId="4" fillId="28" borderId="2" xfId="2" applyNumberFormat="1" applyFont="1" applyFill="1" applyBorder="1" applyAlignment="1">
      <alignment horizontal="center" vertical="top"/>
    </xf>
    <xf numFmtId="179" fontId="4" fillId="28" borderId="3" xfId="2" applyNumberFormat="1" applyFont="1" applyFill="1" applyBorder="1" applyAlignment="1">
      <alignment horizontal="center" vertical="top"/>
    </xf>
    <xf numFmtId="0" fontId="51" fillId="29" borderId="2" xfId="2" applyFont="1" applyFill="1" applyBorder="1" applyAlignment="1">
      <alignment horizontal="center" vertical="top"/>
    </xf>
    <xf numFmtId="0" fontId="53" fillId="2" borderId="0" xfId="2" applyFont="1" applyFill="1" applyAlignment="1">
      <alignment horizontal="center" vertical="top"/>
    </xf>
    <xf numFmtId="0" fontId="51" fillId="30" borderId="24" xfId="2" applyFont="1" applyFill="1" applyBorder="1" applyAlignment="1">
      <alignment horizontal="center" vertical="top"/>
    </xf>
    <xf numFmtId="0" fontId="51" fillId="30" borderId="44" xfId="2" applyFont="1" applyFill="1" applyBorder="1" applyAlignment="1">
      <alignment horizontal="center" vertical="top"/>
    </xf>
    <xf numFmtId="0" fontId="51" fillId="30" borderId="23" xfId="2" applyFont="1" applyFill="1" applyBorder="1" applyAlignment="1">
      <alignment horizontal="center" vertical="top"/>
    </xf>
    <xf numFmtId="179" fontId="4" fillId="28" borderId="2" xfId="2" applyNumberFormat="1" applyFont="1" applyFill="1" applyBorder="1" applyAlignment="1">
      <alignment horizontal="center" vertical="top"/>
    </xf>
    <xf numFmtId="179" fontId="4" fillId="31" borderId="2" xfId="2" applyNumberFormat="1" applyFont="1" applyFill="1" applyBorder="1" applyAlignment="1">
      <alignment horizontal="center" vertical="top"/>
    </xf>
    <xf numFmtId="0" fontId="4" fillId="28" borderId="2" xfId="2" applyFont="1" applyFill="1" applyBorder="1" applyAlignment="1">
      <alignment horizontal="center" vertical="top"/>
    </xf>
    <xf numFmtId="0" fontId="4" fillId="4" borderId="0" xfId="2" applyFont="1" applyFill="1" applyAlignment="1">
      <alignment horizontal="center" vertical="top"/>
    </xf>
    <xf numFmtId="0" fontId="5" fillId="2" borderId="2" xfId="2" applyFont="1" applyFill="1" applyBorder="1" applyAlignment="1">
      <alignment horizontal="center" vertical="center"/>
    </xf>
    <xf numFmtId="0" fontId="6" fillId="8" borderId="0" xfId="2" applyFont="1" applyFill="1" applyAlignment="1">
      <alignment horizontal="center" vertical="center"/>
    </xf>
    <xf numFmtId="0" fontId="6" fillId="29" borderId="0" xfId="2" applyFont="1" applyFill="1" applyAlignment="1">
      <alignment horizontal="center" vertical="top"/>
    </xf>
    <xf numFmtId="0" fontId="5" fillId="32" borderId="0" xfId="2" applyFont="1" applyFill="1" applyAlignment="1">
      <alignment horizontal="center" vertical="top"/>
    </xf>
    <xf numFmtId="0" fontId="5" fillId="9" borderId="0" xfId="2" applyFont="1" applyFill="1" applyAlignment="1">
      <alignment horizontal="center" vertical="top"/>
    </xf>
    <xf numFmtId="166" fontId="4" fillId="31" borderId="2" xfId="2" applyNumberFormat="1" applyFont="1" applyFill="1" applyBorder="1" applyAlignment="1">
      <alignment horizontal="center" vertical="top"/>
    </xf>
    <xf numFmtId="166" fontId="4" fillId="28" borderId="2" xfId="2" applyNumberFormat="1" applyFont="1" applyFill="1" applyBorder="1" applyAlignment="1">
      <alignment horizontal="center" vertical="top"/>
    </xf>
    <xf numFmtId="0" fontId="5" fillId="2" borderId="2" xfId="2" applyFont="1" applyFill="1" applyBorder="1" applyAlignment="1">
      <alignment horizontal="center" vertical="top"/>
    </xf>
    <xf numFmtId="0" fontId="4" fillId="31" borderId="2" xfId="2" applyFont="1" applyFill="1" applyBorder="1" applyAlignment="1">
      <alignment horizontal="center" vertical="top"/>
    </xf>
    <xf numFmtId="0" fontId="4" fillId="28" borderId="2" xfId="2" applyFont="1" applyFill="1" applyBorder="1" applyAlignment="1">
      <alignment horizontal="center" vertical="center"/>
    </xf>
    <xf numFmtId="0" fontId="4" fillId="2" borderId="0" xfId="2" applyFont="1" applyFill="1" applyAlignment="1">
      <alignment horizontal="right" vertical="top"/>
    </xf>
    <xf numFmtId="0" fontId="2" fillId="2" borderId="0" xfId="2" applyFill="1" applyAlignment="1">
      <alignment horizontal="left" vertical="top"/>
    </xf>
    <xf numFmtId="0" fontId="4" fillId="6" borderId="0" xfId="2" applyFont="1" applyFill="1" applyAlignment="1">
      <alignment horizontal="right" vertical="top"/>
    </xf>
    <xf numFmtId="0" fontId="4" fillId="5" borderId="0" xfId="2" applyFont="1" applyFill="1" applyAlignment="1">
      <alignment horizontal="center" vertical="top"/>
    </xf>
    <xf numFmtId="0" fontId="7" fillId="3" borderId="0" xfId="2" applyFont="1" applyFill="1" applyAlignment="1">
      <alignment horizontal="center" vertical="top"/>
    </xf>
    <xf numFmtId="0" fontId="5" fillId="28" borderId="0" xfId="2" applyFont="1" applyFill="1" applyAlignment="1">
      <alignment horizontal="center" vertical="top"/>
    </xf>
    <xf numFmtId="0" fontId="2" fillId="28" borderId="3" xfId="2" applyFill="1" applyBorder="1" applyAlignment="1">
      <alignment horizontal="center" vertical="top"/>
    </xf>
    <xf numFmtId="0" fontId="2" fillId="28" borderId="18" xfId="2" applyFill="1" applyBorder="1" applyAlignment="1">
      <alignment horizontal="center" vertical="top"/>
    </xf>
    <xf numFmtId="1" fontId="2" fillId="28" borderId="3" xfId="2" applyNumberFormat="1" applyFill="1" applyBorder="1" applyAlignment="1">
      <alignment horizontal="center" vertical="top"/>
    </xf>
    <xf numFmtId="1" fontId="2" fillId="28" borderId="18" xfId="2" applyNumberFormat="1" applyFill="1" applyBorder="1" applyAlignment="1">
      <alignment horizontal="center" vertical="top"/>
    </xf>
    <xf numFmtId="2" fontId="9" fillId="28" borderId="3" xfId="2" applyNumberFormat="1" applyFont="1" applyFill="1" applyBorder="1" applyAlignment="1">
      <alignment horizontal="center" vertical="top"/>
    </xf>
    <xf numFmtId="2" fontId="9" fillId="28" borderId="18" xfId="2" applyNumberFormat="1" applyFont="1" applyFill="1" applyBorder="1" applyAlignment="1">
      <alignment horizontal="center" vertical="top"/>
    </xf>
    <xf numFmtId="0" fontId="9" fillId="28" borderId="3" xfId="2" applyFont="1" applyFill="1" applyBorder="1" applyAlignment="1">
      <alignment horizontal="center" vertical="top"/>
    </xf>
    <xf numFmtId="0" fontId="9" fillId="28" borderId="18" xfId="2" applyFont="1" applyFill="1" applyBorder="1" applyAlignment="1">
      <alignment horizontal="center" vertical="top"/>
    </xf>
    <xf numFmtId="0" fontId="0" fillId="18" borderId="2" xfId="0" applyFill="1" applyBorder="1" applyAlignment="1">
      <alignment horizontal="center"/>
    </xf>
    <xf numFmtId="0" fontId="33" fillId="17" borderId="0" xfId="0" applyFont="1" applyFill="1" applyAlignment="1">
      <alignment horizontal="center"/>
    </xf>
    <xf numFmtId="0" fontId="33" fillId="17" borderId="2" xfId="0" applyFont="1" applyFill="1" applyBorder="1" applyAlignment="1">
      <alignment horizontal="center"/>
    </xf>
    <xf numFmtId="0" fontId="0" fillId="20" borderId="5" xfId="0" applyFill="1" applyBorder="1" applyAlignment="1">
      <alignment horizontal="left"/>
    </xf>
    <xf numFmtId="0" fontId="0" fillId="20" borderId="4" xfId="0" applyFill="1" applyBorder="1" applyAlignment="1">
      <alignment horizontal="left"/>
    </xf>
    <xf numFmtId="0" fontId="49" fillId="17" borderId="0" xfId="0" applyFont="1" applyFill="1" applyAlignment="1">
      <alignment horizontal="center"/>
    </xf>
    <xf numFmtId="0" fontId="33" fillId="17" borderId="2" xfId="0" applyFont="1" applyFill="1" applyBorder="1" applyAlignment="1">
      <alignment horizontal="center" vertical="center" textRotation="90"/>
    </xf>
    <xf numFmtId="0" fontId="0" fillId="17" borderId="2" xfId="0" applyFill="1" applyBorder="1" applyAlignment="1">
      <alignment horizontal="left" vertical="center" wrapText="1"/>
    </xf>
    <xf numFmtId="0" fontId="0" fillId="17" borderId="2" xfId="0" applyFill="1" applyBorder="1" applyAlignment="1">
      <alignment horizontal="left" vertical="center"/>
    </xf>
    <xf numFmtId="0" fontId="33" fillId="17" borderId="24" xfId="0" applyFont="1" applyFill="1" applyBorder="1" applyAlignment="1">
      <alignment horizontal="center"/>
    </xf>
    <xf numFmtId="0" fontId="33" fillId="17" borderId="23" xfId="0" applyFont="1" applyFill="1" applyBorder="1" applyAlignment="1">
      <alignment horizontal="center"/>
    </xf>
    <xf numFmtId="0" fontId="33" fillId="17" borderId="2" xfId="0" applyFont="1" applyFill="1" applyBorder="1" applyAlignment="1">
      <alignment horizontal="center" vertical="center" textRotation="90" wrapText="1"/>
    </xf>
    <xf numFmtId="0" fontId="0" fillId="19" borderId="0" xfId="0" applyFill="1" applyAlignment="1">
      <alignment horizontal="center"/>
    </xf>
    <xf numFmtId="0" fontId="0" fillId="18" borderId="2" xfId="0" applyFill="1" applyBorder="1" applyAlignment="1">
      <alignment horizontal="center" wrapText="1"/>
    </xf>
    <xf numFmtId="0" fontId="0" fillId="21" borderId="7" xfId="0" applyFill="1" applyBorder="1" applyAlignment="1">
      <alignment horizontal="center" vertical="center"/>
    </xf>
    <xf numFmtId="0" fontId="2" fillId="13" borderId="0" xfId="2" applyFill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10" fillId="0" borderId="0" xfId="2" applyFont="1" applyAlignment="1">
      <alignment horizontal="center" vertical="top"/>
    </xf>
    <xf numFmtId="0" fontId="25" fillId="11" borderId="0" xfId="0" applyFont="1" applyFill="1" applyAlignment="1">
      <alignment horizontal="left" vertical="top" wrapText="1"/>
    </xf>
    <xf numFmtId="3" fontId="26" fillId="11" borderId="0" xfId="0" applyNumberFormat="1" applyFont="1" applyFill="1" applyAlignment="1">
      <alignment horizontal="center" vertical="top" wrapText="1"/>
    </xf>
    <xf numFmtId="0" fontId="27" fillId="0" borderId="5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9" fontId="26" fillId="11" borderId="0" xfId="0" applyNumberFormat="1" applyFont="1" applyFill="1" applyAlignment="1">
      <alignment horizontal="center" vertical="top" wrapText="1"/>
    </xf>
    <xf numFmtId="1" fontId="26" fillId="11" borderId="0" xfId="0" applyNumberFormat="1" applyFont="1" applyFill="1" applyAlignment="1">
      <alignment horizontal="center" vertical="top" wrapText="1"/>
    </xf>
    <xf numFmtId="169" fontId="26" fillId="11" borderId="0" xfId="0" applyNumberFormat="1" applyFont="1" applyFill="1" applyAlignment="1">
      <alignment horizontal="center" vertical="top" wrapText="1"/>
    </xf>
    <xf numFmtId="0" fontId="23" fillId="10" borderId="0" xfId="0" applyFont="1" applyFill="1" applyAlignment="1">
      <alignment horizontal="left" vertical="top" wrapText="1"/>
    </xf>
    <xf numFmtId="0" fontId="23" fillId="10" borderId="0" xfId="0" applyFont="1" applyFill="1" applyAlignment="1">
      <alignment horizontal="center" vertical="top" wrapText="1"/>
    </xf>
    <xf numFmtId="0" fontId="0" fillId="11" borderId="0" xfId="0" applyFill="1" applyAlignment="1">
      <alignment horizontal="left" vertical="top" wrapText="1"/>
    </xf>
    <xf numFmtId="0" fontId="12" fillId="0" borderId="10" xfId="2" applyFont="1" applyBorder="1" applyAlignment="1">
      <alignment horizontal="center" vertical="top" wrapText="1"/>
    </xf>
    <xf numFmtId="0" fontId="12" fillId="0" borderId="9" xfId="2" applyFont="1" applyBorder="1" applyAlignment="1">
      <alignment horizontal="center" vertical="top" wrapText="1"/>
    </xf>
    <xf numFmtId="0" fontId="50" fillId="17" borderId="1" xfId="2" applyFont="1" applyFill="1" applyBorder="1" applyAlignment="1">
      <alignment horizontal="center" vertical="top"/>
    </xf>
    <xf numFmtId="0" fontId="50" fillId="17" borderId="0" xfId="2" applyFont="1" applyFill="1" applyAlignment="1">
      <alignment horizontal="center" vertical="top"/>
    </xf>
    <xf numFmtId="170" fontId="26" fillId="11" borderId="0" xfId="0" applyNumberFormat="1" applyFont="1" applyFill="1" applyAlignment="1">
      <alignment horizontal="center" vertical="top" wrapText="1"/>
    </xf>
    <xf numFmtId="171" fontId="26" fillId="11" borderId="0" xfId="0" applyNumberFormat="1" applyFont="1" applyFill="1" applyAlignment="1">
      <alignment horizontal="center" vertical="top" wrapText="1"/>
    </xf>
    <xf numFmtId="0" fontId="25" fillId="11" borderId="19" xfId="0" applyFont="1" applyFill="1" applyBorder="1" applyAlignment="1">
      <alignment horizontal="center" vertical="top" wrapText="1"/>
    </xf>
    <xf numFmtId="0" fontId="25" fillId="11" borderId="19" xfId="0" applyFont="1" applyFill="1" applyBorder="1" applyAlignment="1">
      <alignment horizontal="left" vertical="top" wrapText="1"/>
    </xf>
    <xf numFmtId="0" fontId="23" fillId="10" borderId="20" xfId="0" applyFont="1" applyFill="1" applyBorder="1" applyAlignment="1">
      <alignment horizontal="left" vertical="top" wrapText="1"/>
    </xf>
    <xf numFmtId="0" fontId="18" fillId="11" borderId="0" xfId="0" applyFont="1" applyFill="1" applyAlignment="1">
      <alignment horizontal="center" vertical="top" wrapText="1"/>
    </xf>
    <xf numFmtId="169" fontId="16" fillId="11" borderId="0" xfId="0" applyNumberFormat="1" applyFont="1" applyFill="1" applyAlignment="1">
      <alignment horizontal="center" vertical="top" wrapText="1"/>
    </xf>
    <xf numFmtId="0" fontId="18" fillId="11" borderId="0" xfId="0" applyFont="1" applyFill="1" applyAlignment="1">
      <alignment horizontal="left" vertical="top" wrapText="1"/>
    </xf>
    <xf numFmtId="0" fontId="25" fillId="11" borderId="0" xfId="0" applyFont="1" applyFill="1" applyAlignment="1">
      <alignment horizontal="center" vertical="top" wrapText="1"/>
    </xf>
    <xf numFmtId="0" fontId="18" fillId="11" borderId="19" xfId="0" applyFont="1" applyFill="1" applyBorder="1" applyAlignment="1">
      <alignment horizontal="left" vertical="top" wrapText="1"/>
    </xf>
    <xf numFmtId="0" fontId="18" fillId="11" borderId="20" xfId="0" applyFont="1" applyFill="1" applyBorder="1" applyAlignment="1">
      <alignment horizontal="left" vertical="top" wrapText="1"/>
    </xf>
    <xf numFmtId="0" fontId="19" fillId="10" borderId="21" xfId="0" applyFont="1" applyFill="1" applyBorder="1" applyAlignment="1">
      <alignment horizontal="center" vertical="top" wrapText="1"/>
    </xf>
    <xf numFmtId="166" fontId="16" fillId="11" borderId="19" xfId="0" applyNumberFormat="1" applyFont="1" applyFill="1" applyBorder="1" applyAlignment="1">
      <alignment horizontal="center" vertical="top" wrapText="1"/>
    </xf>
    <xf numFmtId="2" fontId="16" fillId="11" borderId="0" xfId="0" applyNumberFormat="1" applyFont="1" applyFill="1" applyAlignment="1">
      <alignment horizontal="center" vertical="top" wrapText="1"/>
    </xf>
    <xf numFmtId="171" fontId="16" fillId="11" borderId="0" xfId="0" applyNumberFormat="1" applyFont="1" applyFill="1" applyAlignment="1">
      <alignment horizontal="center" vertical="top" wrapText="1"/>
    </xf>
    <xf numFmtId="168" fontId="16" fillId="11" borderId="0" xfId="0" applyNumberFormat="1" applyFont="1" applyFill="1" applyAlignment="1">
      <alignment horizontal="center" vertical="top" wrapText="1"/>
    </xf>
    <xf numFmtId="170" fontId="16" fillId="11" borderId="0" xfId="0" applyNumberFormat="1" applyFont="1" applyFill="1" applyAlignment="1">
      <alignment horizontal="center" vertical="top" wrapText="1"/>
    </xf>
    <xf numFmtId="0" fontId="18" fillId="11" borderId="19" xfId="0" applyFont="1" applyFill="1" applyBorder="1" applyAlignment="1">
      <alignment horizontal="center" vertical="top" wrapText="1"/>
    </xf>
    <xf numFmtId="37" fontId="11" fillId="0" borderId="10" xfId="2" applyNumberFormat="1" applyFont="1" applyBorder="1" applyAlignment="1">
      <alignment horizontal="center" vertical="top" wrapText="1"/>
    </xf>
    <xf numFmtId="37" fontId="11" fillId="0" borderId="9" xfId="2" applyNumberFormat="1" applyFont="1" applyBorder="1" applyAlignment="1">
      <alignment horizontal="center" vertical="top" wrapText="1"/>
    </xf>
    <xf numFmtId="0" fontId="15" fillId="10" borderId="20" xfId="0" applyFont="1" applyFill="1" applyBorder="1" applyAlignment="1">
      <alignment horizontal="center" vertical="top" wrapText="1"/>
    </xf>
    <xf numFmtId="0" fontId="14" fillId="10" borderId="0" xfId="0" applyFont="1" applyFill="1" applyAlignment="1">
      <alignment horizontal="left" vertical="top" wrapText="1"/>
    </xf>
    <xf numFmtId="0" fontId="2" fillId="0" borderId="1" xfId="2" applyBorder="1" applyAlignment="1">
      <alignment horizontal="center" vertical="top"/>
    </xf>
    <xf numFmtId="0" fontId="2" fillId="0" borderId="0" xfId="2" applyAlignment="1">
      <alignment horizontal="center" vertical="top"/>
    </xf>
    <xf numFmtId="0" fontId="12" fillId="0" borderId="10" xfId="2" applyFont="1" applyBorder="1" applyAlignment="1">
      <alignment horizontal="left" vertical="top" wrapText="1" indent="3"/>
    </xf>
    <xf numFmtId="0" fontId="12" fillId="0" borderId="13" xfId="2" applyFont="1" applyBorder="1" applyAlignment="1">
      <alignment horizontal="left" vertical="top" wrapText="1" indent="3"/>
    </xf>
    <xf numFmtId="0" fontId="12" fillId="0" borderId="9" xfId="2" applyFont="1" applyBorder="1" applyAlignment="1">
      <alignment horizontal="left" vertical="top" wrapText="1" indent="3"/>
    </xf>
    <xf numFmtId="0" fontId="12" fillId="0" borderId="13" xfId="2" applyFont="1" applyBorder="1" applyAlignment="1">
      <alignment horizontal="center" vertical="top" wrapText="1"/>
    </xf>
    <xf numFmtId="0" fontId="2" fillId="0" borderId="1" xfId="2" applyBorder="1" applyAlignment="1">
      <alignment horizontal="center" vertical="top" wrapText="1"/>
    </xf>
    <xf numFmtId="0" fontId="2" fillId="0" borderId="0" xfId="2" applyAlignment="1">
      <alignment horizontal="center" vertical="top" wrapText="1"/>
    </xf>
    <xf numFmtId="0" fontId="2" fillId="0" borderId="10" xfId="2" applyBorder="1" applyAlignment="1">
      <alignment horizontal="center" vertical="top" wrapText="1"/>
    </xf>
    <xf numFmtId="0" fontId="2" fillId="0" borderId="13" xfId="2" applyBorder="1" applyAlignment="1">
      <alignment horizontal="center" vertical="top" wrapText="1"/>
    </xf>
    <xf numFmtId="0" fontId="2" fillId="0" borderId="9" xfId="2" applyBorder="1" applyAlignment="1">
      <alignment horizontal="center" vertical="top" wrapText="1"/>
    </xf>
    <xf numFmtId="0" fontId="2" fillId="0" borderId="17" xfId="2" applyBorder="1" applyAlignment="1">
      <alignment horizontal="left" vertical="top" wrapText="1"/>
    </xf>
    <xf numFmtId="0" fontId="2" fillId="0" borderId="16" xfId="2" applyBorder="1" applyAlignment="1">
      <alignment horizontal="left" vertical="top" wrapText="1"/>
    </xf>
    <xf numFmtId="0" fontId="2" fillId="0" borderId="15" xfId="2" applyBorder="1" applyAlignment="1">
      <alignment horizontal="left" vertical="top" wrapText="1"/>
    </xf>
    <xf numFmtId="0" fontId="2" fillId="0" borderId="14" xfId="2" applyBorder="1" applyAlignment="1">
      <alignment horizontal="left" vertical="top" wrapText="1"/>
    </xf>
    <xf numFmtId="0" fontId="2" fillId="0" borderId="12" xfId="2" applyBorder="1" applyAlignment="1">
      <alignment horizontal="left" vertical="top" wrapText="1"/>
    </xf>
    <xf numFmtId="0" fontId="2" fillId="0" borderId="11" xfId="2" applyBorder="1" applyAlignment="1">
      <alignment horizontal="left" vertical="top" wrapText="1"/>
    </xf>
    <xf numFmtId="0" fontId="12" fillId="0" borderId="10" xfId="2" applyFont="1" applyBorder="1" applyAlignment="1">
      <alignment horizontal="left" vertical="top" wrapText="1" indent="14"/>
    </xf>
    <xf numFmtId="0" fontId="12" fillId="0" borderId="13" xfId="2" applyFont="1" applyBorder="1" applyAlignment="1">
      <alignment horizontal="left" vertical="top" wrapText="1" indent="14"/>
    </xf>
    <xf numFmtId="0" fontId="12" fillId="0" borderId="9" xfId="2" applyFont="1" applyBorder="1" applyAlignment="1">
      <alignment horizontal="left" vertical="top" wrapText="1" indent="14"/>
    </xf>
    <xf numFmtId="37" fontId="2" fillId="0" borderId="10" xfId="2" applyNumberFormat="1" applyBorder="1" applyAlignment="1">
      <alignment horizontal="left" vertical="top" wrapText="1"/>
    </xf>
    <xf numFmtId="37" fontId="2" fillId="0" borderId="9" xfId="2" applyNumberFormat="1" applyBorder="1" applyAlignment="1">
      <alignment horizontal="left" vertical="top" wrapText="1"/>
    </xf>
    <xf numFmtId="0" fontId="0" fillId="26" borderId="0" xfId="0" applyFill="1" applyAlignment="1">
      <alignment horizontal="center"/>
    </xf>
    <xf numFmtId="0" fontId="0" fillId="0" borderId="0" xfId="0" applyAlignment="1">
      <alignment horizontal="center"/>
    </xf>
    <xf numFmtId="0" fontId="31" fillId="10" borderId="0" xfId="2" applyFont="1" applyFill="1" applyAlignment="1">
      <alignment horizontal="center" vertical="top" wrapText="1"/>
    </xf>
    <xf numFmtId="0" fontId="31" fillId="13" borderId="0" xfId="2" applyFont="1" applyFill="1" applyAlignment="1">
      <alignment horizontal="center" vertical="top" wrapText="1"/>
    </xf>
    <xf numFmtId="0" fontId="2" fillId="10" borderId="0" xfId="2" applyFill="1" applyAlignment="1">
      <alignment horizontal="center" vertical="top" wrapText="1"/>
    </xf>
    <xf numFmtId="0" fontId="25" fillId="0" borderId="29" xfId="0" applyFont="1" applyBorder="1" applyAlignment="1">
      <alignment horizontal="left" wrapText="1"/>
    </xf>
    <xf numFmtId="0" fontId="25" fillId="0" borderId="35" xfId="0" applyFont="1" applyBorder="1" applyAlignment="1">
      <alignment horizontal="left" wrapText="1"/>
    </xf>
    <xf numFmtId="0" fontId="25" fillId="0" borderId="30" xfId="0" applyFont="1" applyBorder="1" applyAlignment="1">
      <alignment horizontal="left" wrapText="1"/>
    </xf>
    <xf numFmtId="0" fontId="25" fillId="16" borderId="29" xfId="0" applyFont="1" applyFill="1" applyBorder="1" applyAlignment="1">
      <alignment horizontal="left" wrapText="1"/>
    </xf>
    <xf numFmtId="0" fontId="25" fillId="16" borderId="35" xfId="0" applyFont="1" applyFill="1" applyBorder="1" applyAlignment="1">
      <alignment horizontal="left" wrapText="1"/>
    </xf>
    <xf numFmtId="0" fontId="25" fillId="16" borderId="30" xfId="0" applyFont="1" applyFill="1" applyBorder="1" applyAlignment="1">
      <alignment horizontal="left" wrapText="1"/>
    </xf>
    <xf numFmtId="0" fontId="39" fillId="15" borderId="31" xfId="0" applyFont="1" applyFill="1" applyBorder="1" applyAlignment="1">
      <alignment horizontal="left" vertical="center" wrapText="1" indent="2"/>
    </xf>
    <xf numFmtId="0" fontId="39" fillId="15" borderId="32" xfId="0" applyFont="1" applyFill="1" applyBorder="1" applyAlignment="1">
      <alignment horizontal="left" vertical="center" wrapText="1" indent="2"/>
    </xf>
    <xf numFmtId="0" fontId="39" fillId="15" borderId="33" xfId="0" applyFont="1" applyFill="1" applyBorder="1" applyAlignment="1">
      <alignment horizontal="left" vertical="center" wrapText="1" indent="2"/>
    </xf>
    <xf numFmtId="0" fontId="39" fillId="15" borderId="34" xfId="0" applyFont="1" applyFill="1" applyBorder="1" applyAlignment="1">
      <alignment horizontal="left" vertical="center" wrapText="1" indent="2"/>
    </xf>
    <xf numFmtId="0" fontId="25" fillId="16" borderId="29" xfId="0" applyFont="1" applyFill="1" applyBorder="1" applyAlignment="1">
      <alignment horizontal="center" vertical="top" wrapText="1"/>
    </xf>
    <xf numFmtId="0" fontId="25" fillId="16" borderId="30" xfId="0" applyFont="1" applyFill="1" applyBorder="1" applyAlignment="1">
      <alignment horizontal="center" vertical="top" wrapText="1"/>
    </xf>
    <xf numFmtId="0" fontId="39" fillId="15" borderId="29" xfId="0" applyFont="1" applyFill="1" applyBorder="1" applyAlignment="1">
      <alignment horizontal="left" vertical="center" wrapText="1" indent="1"/>
    </xf>
    <xf numFmtId="0" fontId="39" fillId="15" borderId="30" xfId="0" applyFont="1" applyFill="1" applyBorder="1" applyAlignment="1">
      <alignment horizontal="left" vertical="center" wrapText="1" indent="1"/>
    </xf>
    <xf numFmtId="0" fontId="0" fillId="16" borderId="29" xfId="0" applyFill="1" applyBorder="1" applyAlignment="1">
      <alignment horizontal="left" wrapText="1"/>
    </xf>
    <xf numFmtId="0" fontId="0" fillId="16" borderId="35" xfId="0" applyFill="1" applyBorder="1" applyAlignment="1">
      <alignment horizontal="left" wrapText="1"/>
    </xf>
    <xf numFmtId="0" fontId="0" fillId="16" borderId="30" xfId="0" applyFill="1" applyBorder="1" applyAlignment="1">
      <alignment horizontal="left" wrapText="1"/>
    </xf>
    <xf numFmtId="0" fontId="0" fillId="0" borderId="29" xfId="0" applyBorder="1" applyAlignment="1">
      <alignment horizontal="left" wrapText="1"/>
    </xf>
    <xf numFmtId="0" fontId="0" fillId="0" borderId="35" xfId="0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25" fillId="16" borderId="36" xfId="0" applyFont="1" applyFill="1" applyBorder="1" applyAlignment="1">
      <alignment horizontal="left" wrapText="1"/>
    </xf>
    <xf numFmtId="0" fontId="25" fillId="16" borderId="43" xfId="0" applyFont="1" applyFill="1" applyBorder="1" applyAlignment="1">
      <alignment horizontal="left" wrapText="1"/>
    </xf>
    <xf numFmtId="0" fontId="25" fillId="16" borderId="40" xfId="0" applyFont="1" applyFill="1" applyBorder="1" applyAlignment="1">
      <alignment horizontal="left" wrapText="1"/>
    </xf>
    <xf numFmtId="0" fontId="25" fillId="0" borderId="36" xfId="0" applyFont="1" applyBorder="1" applyAlignment="1">
      <alignment horizontal="left" wrapText="1"/>
    </xf>
    <xf numFmtId="0" fontId="25" fillId="0" borderId="43" xfId="0" applyFont="1" applyBorder="1" applyAlignment="1">
      <alignment horizontal="left" wrapText="1"/>
    </xf>
    <xf numFmtId="0" fontId="25" fillId="0" borderId="40" xfId="0" applyFont="1" applyBorder="1" applyAlignment="1">
      <alignment horizontal="left" wrapText="1"/>
    </xf>
    <xf numFmtId="0" fontId="39" fillId="15" borderId="36" xfId="0" applyFont="1" applyFill="1" applyBorder="1" applyAlignment="1">
      <alignment horizontal="left" vertical="center" wrapText="1" indent="1"/>
    </xf>
    <xf numFmtId="0" fontId="39" fillId="15" borderId="40" xfId="0" applyFont="1" applyFill="1" applyBorder="1" applyAlignment="1">
      <alignment horizontal="left" vertical="center" wrapText="1" indent="1"/>
    </xf>
  </cellXfs>
  <cellStyles count="5">
    <cellStyle name="Comma" xfId="1" builtinId="3"/>
    <cellStyle name="Currency 2" xfId="3" xr:uid="{F113BA57-1E21-49FF-9124-967F774A1029}"/>
    <cellStyle name="Normal" xfId="0" builtinId="0"/>
    <cellStyle name="Normal 2" xfId="2" xr:uid="{6C4FDD8E-916A-4A48-A641-809022AC770F}"/>
    <cellStyle name="Percent" xfId="4" builtinId="5"/>
  </cellStyles>
  <dxfs count="9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CCFFCC"/>
      <color rgb="FF99FF66"/>
      <color rgb="FF33CCFF"/>
      <color rgb="FFFF9933"/>
      <color rgb="FFCCFFFF"/>
      <color rgb="FF3366CC"/>
      <color rgb="FF3399FF"/>
      <color rgb="FF75FFA3"/>
      <color rgb="FF66FF99"/>
      <color rgb="FF240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Present </a:t>
            </a:r>
          </a:p>
        </c:rich>
      </c:tx>
      <c:layout>
        <c:manualLayout>
          <c:xMode val="edge"/>
          <c:yMode val="edge"/>
          <c:x val="0.49794050235957243"/>
          <c:y val="4.16353854879372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7"/>
          <c:order val="7"/>
          <c:tx>
            <c:strRef>
              <c:f>Calculation!$I$4:$I$7</c:f>
              <c:strCache>
                <c:ptCount val="4"/>
                <c:pt idx="2">
                  <c:v> Misc.</c:v>
                </c:pt>
                <c:pt idx="3">
                  <c:v>kBtu</c:v>
                </c:pt>
              </c:strCache>
            </c:strRef>
          </c:tx>
          <c:spPr>
            <a:solidFill>
              <a:srgbClr val="CCFFFF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Calculation!$I$8:$I$20</c15:sqref>
                  </c15:fullRef>
                </c:ext>
              </c:extLst>
              <c:f>Calculation!$I$8:$I$19</c:f>
              <c:numCache>
                <c:formatCode>#,##0_);\(#,##0\)</c:formatCode>
                <c:ptCount val="12"/>
                <c:pt idx="0">
                  <c:v>115840.1195665875</c:v>
                </c:pt>
                <c:pt idx="1">
                  <c:v>115840.1195665875</c:v>
                </c:pt>
                <c:pt idx="2">
                  <c:v>115840.1195665875</c:v>
                </c:pt>
                <c:pt idx="3">
                  <c:v>115840.1195665875</c:v>
                </c:pt>
                <c:pt idx="4">
                  <c:v>115840.1195665875</c:v>
                </c:pt>
                <c:pt idx="5">
                  <c:v>115840.1195665875</c:v>
                </c:pt>
                <c:pt idx="6">
                  <c:v>115840.1195665875</c:v>
                </c:pt>
                <c:pt idx="7">
                  <c:v>115840.1195665875</c:v>
                </c:pt>
                <c:pt idx="8">
                  <c:v>115840.1195665875</c:v>
                </c:pt>
                <c:pt idx="9">
                  <c:v>115840.1195665875</c:v>
                </c:pt>
                <c:pt idx="10">
                  <c:v>115840.1195665875</c:v>
                </c:pt>
                <c:pt idx="11">
                  <c:v>115840.1195665875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9F9E-488A-8EAB-ACD741F0787B}"/>
            </c:ext>
          </c:extLst>
        </c:ser>
        <c:ser>
          <c:idx val="8"/>
          <c:order val="8"/>
          <c:tx>
            <c:strRef>
              <c:f>Calculation!$J$4:$J$7</c:f>
              <c:strCache>
                <c:ptCount val="4"/>
                <c:pt idx="2">
                  <c:v>Light</c:v>
                </c:pt>
                <c:pt idx="3">
                  <c:v>kBtu</c:v>
                </c:pt>
              </c:strCache>
            </c:strRef>
          </c:tx>
          <c:spPr>
            <a:solidFill>
              <a:srgbClr val="3399FF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Calculation!$J$8:$J$20</c15:sqref>
                  </c15:fullRef>
                </c:ext>
              </c:extLst>
              <c:f>Calculation!$J$8:$J$19</c:f>
              <c:numCache>
                <c:formatCode>#,##0_);\(#,##0\)</c:formatCode>
                <c:ptCount val="12"/>
                <c:pt idx="0">
                  <c:v>270293.61232203752</c:v>
                </c:pt>
                <c:pt idx="1">
                  <c:v>270293.61232203752</c:v>
                </c:pt>
                <c:pt idx="2">
                  <c:v>270293.61232203752</c:v>
                </c:pt>
                <c:pt idx="3">
                  <c:v>270293.61232203752</c:v>
                </c:pt>
                <c:pt idx="4">
                  <c:v>270293.61232203752</c:v>
                </c:pt>
                <c:pt idx="5">
                  <c:v>270293.61232203752</c:v>
                </c:pt>
                <c:pt idx="6">
                  <c:v>270293.61232203752</c:v>
                </c:pt>
                <c:pt idx="7">
                  <c:v>270293.61232203752</c:v>
                </c:pt>
                <c:pt idx="8">
                  <c:v>270293.61232203752</c:v>
                </c:pt>
                <c:pt idx="9">
                  <c:v>270293.61232203752</c:v>
                </c:pt>
                <c:pt idx="10">
                  <c:v>270293.61232203752</c:v>
                </c:pt>
                <c:pt idx="11">
                  <c:v>270293.61232203752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9F9E-488A-8EAB-ACD741F0787B}"/>
            </c:ext>
          </c:extLst>
        </c:ser>
        <c:ser>
          <c:idx val="9"/>
          <c:order val="9"/>
          <c:tx>
            <c:strRef>
              <c:f>Calculation!$K$4:$K$7</c:f>
              <c:strCache>
                <c:ptCount val="4"/>
                <c:pt idx="2">
                  <c:v>Cool</c:v>
                </c:pt>
                <c:pt idx="3">
                  <c:v>kBtu</c:v>
                </c:pt>
              </c:strCache>
            </c:strRef>
          </c:tx>
          <c:spPr>
            <a:solidFill>
              <a:srgbClr val="33CCFF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Calculation!$K$8:$K$20</c15:sqref>
                  </c15:fullRef>
                </c:ext>
              </c:extLst>
              <c:f>Calculation!$K$8:$K$19</c:f>
              <c:numCache>
                <c:formatCode>#,##0_);\(#,##0\)</c:formatCode>
                <c:ptCount val="12"/>
                <c:pt idx="0">
                  <c:v>365105.48814904504</c:v>
                </c:pt>
                <c:pt idx="1">
                  <c:v>212076.72053725491</c:v>
                </c:pt>
                <c:pt idx="2">
                  <c:v>392317.27494781493</c:v>
                </c:pt>
                <c:pt idx="3">
                  <c:v>113435.82018184496</c:v>
                </c:pt>
                <c:pt idx="4">
                  <c:v>112368.06628739998</c:v>
                </c:pt>
                <c:pt idx="5">
                  <c:v>48861.534164624944</c:v>
                </c:pt>
                <c:pt idx="6">
                  <c:v>236872.404582975</c:v>
                </c:pt>
                <c:pt idx="7">
                  <c:v>388469.04772819486</c:v>
                </c:pt>
                <c:pt idx="8">
                  <c:v>689574.77700205473</c:v>
                </c:pt>
                <c:pt idx="9">
                  <c:v>350957.71942402504</c:v>
                </c:pt>
                <c:pt idx="10">
                  <c:v>148229.04276337495</c:v>
                </c:pt>
                <c:pt idx="11">
                  <c:v>229421.47073737491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9F9E-488A-8EAB-ACD741F0787B}"/>
            </c:ext>
          </c:extLst>
        </c:ser>
        <c:ser>
          <c:idx val="10"/>
          <c:order val="10"/>
          <c:tx>
            <c:strRef>
              <c:f>Calculation!$L$4:$L$7</c:f>
              <c:strCache>
                <c:ptCount val="4"/>
                <c:pt idx="2">
                  <c:v>Elect Heat</c:v>
                </c:pt>
                <c:pt idx="3">
                  <c:v>kBtu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Calculation!$L$8:$L$20</c15:sqref>
                  </c15:fullRef>
                </c:ext>
              </c:extLst>
              <c:f>Calculation!$L$8:$L$19</c:f>
              <c:numCache>
                <c:formatCode>#,##0_);\(#,##0\)</c:formatCode>
                <c:ptCount val="12"/>
                <c:pt idx="0">
                  <c:v>211887.98513883</c:v>
                </c:pt>
                <c:pt idx="1">
                  <c:v>232637.39816562002</c:v>
                </c:pt>
                <c:pt idx="2">
                  <c:v>170879.48930555995</c:v>
                </c:pt>
                <c:pt idx="3">
                  <c:v>52441.002703529994</c:v>
                </c:pt>
                <c:pt idx="4">
                  <c:v>87970.905560475003</c:v>
                </c:pt>
                <c:pt idx="5">
                  <c:v>35269.886436749992</c:v>
                </c:pt>
                <c:pt idx="6">
                  <c:v>32789.796656400002</c:v>
                </c:pt>
                <c:pt idx="7">
                  <c:v>7824.270501179999</c:v>
                </c:pt>
                <c:pt idx="8">
                  <c:v>93539.87033831999</c:v>
                </c:pt>
                <c:pt idx="9">
                  <c:v>81899.050145850008</c:v>
                </c:pt>
                <c:pt idx="10">
                  <c:v>133590.69366299998</c:v>
                </c:pt>
                <c:pt idx="11">
                  <c:v>205185.06754199998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9F9E-488A-8EAB-ACD741F0787B}"/>
            </c:ext>
          </c:extLst>
        </c:ser>
        <c:ser>
          <c:idx val="25"/>
          <c:order val="24"/>
          <c:tx>
            <c:strRef>
              <c:f>Calculation!$AD$5</c:f>
              <c:strCache>
                <c:ptCount val="1"/>
                <c:pt idx="0">
                  <c:v>NG Heat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  <c:pt idx="12">
                <c:v>TOTAL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Calculation!$AD$8:$AD$19</c15:sqref>
                  </c15:fullRef>
                </c:ext>
              </c:extLst>
              <c:f>Calculation!$AD$8:$AD$19</c:f>
              <c:numCache>
                <c:formatCode>#,##0_);\(#,##0\)</c:formatCode>
                <c:ptCount val="12"/>
                <c:pt idx="0">
                  <c:v>43229.969999999994</c:v>
                </c:pt>
                <c:pt idx="1">
                  <c:v>44147.46</c:v>
                </c:pt>
                <c:pt idx="2">
                  <c:v>52836.63</c:v>
                </c:pt>
                <c:pt idx="3">
                  <c:v>6168</c:v>
                </c:pt>
                <c:pt idx="4">
                  <c:v>15867.179999999998</c:v>
                </c:pt>
                <c:pt idx="5">
                  <c:v>9336.81</c:v>
                </c:pt>
                <c:pt idx="6">
                  <c:v>2860.41</c:v>
                </c:pt>
                <c:pt idx="7">
                  <c:v>4317.5999999999995</c:v>
                </c:pt>
                <c:pt idx="8">
                  <c:v>6314.49</c:v>
                </c:pt>
                <c:pt idx="9">
                  <c:v>8959.02</c:v>
                </c:pt>
                <c:pt idx="10">
                  <c:v>7016.0999999999995</c:v>
                </c:pt>
                <c:pt idx="11">
                  <c:v>40639.409999999996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4-4F63-A2E1-AF001E9F3A1D}"/>
            </c:ext>
          </c:extLst>
        </c:ser>
        <c:ser>
          <c:idx val="26"/>
          <c:order val="25"/>
          <c:tx>
            <c:strRef>
              <c:f>Calculation!$AE$5</c:f>
              <c:strCache>
                <c:ptCount val="1"/>
                <c:pt idx="0">
                  <c:v>NG Other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  <c:pt idx="12">
                <c:v>TOTAL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Calculation!$AE$8:$AE$19</c15:sqref>
                  </c15:fullRef>
                </c:ext>
              </c:extLst>
              <c:f>Calculation!$AE$8:$AE$19</c:f>
              <c:numCache>
                <c:formatCode>#,##0_);\(#,##0\)</c:formatCode>
                <c:ptCount val="12"/>
                <c:pt idx="0">
                  <c:v>43229.969999999994</c:v>
                </c:pt>
                <c:pt idx="1">
                  <c:v>44147.46</c:v>
                </c:pt>
                <c:pt idx="2">
                  <c:v>52836.63</c:v>
                </c:pt>
                <c:pt idx="3">
                  <c:v>6168</c:v>
                </c:pt>
                <c:pt idx="4">
                  <c:v>15867.179999999998</c:v>
                </c:pt>
                <c:pt idx="5">
                  <c:v>9336.81</c:v>
                </c:pt>
                <c:pt idx="6">
                  <c:v>2860.41</c:v>
                </c:pt>
                <c:pt idx="7">
                  <c:v>4317.5999999999995</c:v>
                </c:pt>
                <c:pt idx="8">
                  <c:v>6314.49</c:v>
                </c:pt>
                <c:pt idx="9">
                  <c:v>8959.02</c:v>
                </c:pt>
                <c:pt idx="10">
                  <c:v>7016.0999999999995</c:v>
                </c:pt>
                <c:pt idx="11">
                  <c:v>40639.409999999996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84-4F63-A2E1-AF001E9F3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390607"/>
        <c:axId val="187725327"/>
      </c:barChart>
      <c:lineChart>
        <c:grouping val="standard"/>
        <c:varyColors val="0"/>
        <c:ser>
          <c:idx val="2"/>
          <c:order val="2"/>
          <c:tx>
            <c:strRef>
              <c:f>Calculation!$D$4:$D$7</c:f>
              <c:strCache>
                <c:ptCount val="4"/>
                <c:pt idx="2">
                  <c:v>Electrical CONSUMPTION</c:v>
                </c:pt>
                <c:pt idx="3">
                  <c:v>kBtu</c:v>
                </c:pt>
              </c:strCache>
            </c:strRef>
          </c:tx>
          <c:spPr>
            <a:ln w="158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Calculation!$D$8:$D$20</c15:sqref>
                  </c15:fullRef>
                </c:ext>
              </c:extLst>
              <c:f>Calculation!$D$8:$D$19</c:f>
              <c:numCache>
                <c:formatCode>#,##0_);\(#,##0\)</c:formatCode>
                <c:ptCount val="12"/>
                <c:pt idx="0">
                  <c:v>963127.20517650002</c:v>
                </c:pt>
                <c:pt idx="1">
                  <c:v>830847.85059149994</c:v>
                </c:pt>
                <c:pt idx="2">
                  <c:v>949330.49614199984</c:v>
                </c:pt>
                <c:pt idx="3">
                  <c:v>552010.55477399996</c:v>
                </c:pt>
                <c:pt idx="4">
                  <c:v>586472.7037365</c:v>
                </c:pt>
                <c:pt idx="5">
                  <c:v>470265.15248999995</c:v>
                </c:pt>
                <c:pt idx="6">
                  <c:v>655795.933128</c:v>
                </c:pt>
                <c:pt idx="7">
                  <c:v>782427.0501179999</c:v>
                </c:pt>
                <c:pt idx="8">
                  <c:v>1169248.3792289998</c:v>
                </c:pt>
                <c:pt idx="9">
                  <c:v>818990.50145850005</c:v>
                </c:pt>
                <c:pt idx="10">
                  <c:v>667953.46831499995</c:v>
                </c:pt>
                <c:pt idx="11">
                  <c:v>820740.2701679999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F9E-488A-8EAB-ACD741F0787B}"/>
            </c:ext>
          </c:extLst>
        </c:ser>
        <c:ser>
          <c:idx val="3"/>
          <c:order val="3"/>
          <c:tx>
            <c:strRef>
              <c:f>Calculation!$E$4:$E$7</c:f>
              <c:strCache>
                <c:ptCount val="4"/>
                <c:pt idx="2">
                  <c:v>ES25</c:v>
                </c:pt>
                <c:pt idx="3">
                  <c:v>kBtu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Calculation!$E$8:$E$20</c15:sqref>
                  </c15:fullRef>
                </c:ext>
              </c:extLst>
              <c:f>Calculation!$E$8:$E$19</c:f>
              <c:numCache>
                <c:formatCode>#,##0_);\(#,##0\)</c:formatCode>
                <c:ptCount val="12"/>
                <c:pt idx="0">
                  <c:v>1005168.0662603573</c:v>
                </c:pt>
                <c:pt idx="1">
                  <c:v>1005168.0662603573</c:v>
                </c:pt>
                <c:pt idx="2">
                  <c:v>1005168.0662603573</c:v>
                </c:pt>
                <c:pt idx="3">
                  <c:v>1005168.0662603573</c:v>
                </c:pt>
                <c:pt idx="4">
                  <c:v>1005168.0662603573</c:v>
                </c:pt>
                <c:pt idx="5">
                  <c:v>1005168.0662603573</c:v>
                </c:pt>
                <c:pt idx="6">
                  <c:v>1005168.0662603573</c:v>
                </c:pt>
                <c:pt idx="7">
                  <c:v>1005168.0662603573</c:v>
                </c:pt>
                <c:pt idx="8">
                  <c:v>1005168.0662603573</c:v>
                </c:pt>
                <c:pt idx="9">
                  <c:v>1005168.0662603573</c:v>
                </c:pt>
                <c:pt idx="10">
                  <c:v>1005168.0662603573</c:v>
                </c:pt>
                <c:pt idx="11">
                  <c:v>1005168.0662603573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F9E-488A-8EAB-ACD741F0787B}"/>
            </c:ext>
          </c:extLst>
        </c:ser>
        <c:ser>
          <c:idx val="4"/>
          <c:order val="4"/>
          <c:tx>
            <c:strRef>
              <c:f>Calculation!$F$4:$F$7</c:f>
              <c:strCache>
                <c:ptCount val="4"/>
                <c:pt idx="2">
                  <c:v>ES50</c:v>
                </c:pt>
                <c:pt idx="3">
                  <c:v>kBtu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Calculation!$F$8:$F$20</c15:sqref>
                  </c15:fullRef>
                </c:ext>
              </c:extLst>
              <c:f>Calculation!$F$8:$F$19</c:f>
              <c:numCache>
                <c:formatCode>#,##0_);\(#,##0\)</c:formatCode>
                <c:ptCount val="12"/>
                <c:pt idx="0">
                  <c:v>775992.36350065481</c:v>
                </c:pt>
                <c:pt idx="1">
                  <c:v>775992.36350065481</c:v>
                </c:pt>
                <c:pt idx="2">
                  <c:v>775992.36350065481</c:v>
                </c:pt>
                <c:pt idx="3">
                  <c:v>775992.36350065481</c:v>
                </c:pt>
                <c:pt idx="4">
                  <c:v>775992.36350065481</c:v>
                </c:pt>
                <c:pt idx="5">
                  <c:v>775992.36350065481</c:v>
                </c:pt>
                <c:pt idx="6">
                  <c:v>775992.36350065481</c:v>
                </c:pt>
                <c:pt idx="7">
                  <c:v>775992.36350065481</c:v>
                </c:pt>
                <c:pt idx="8">
                  <c:v>775992.36350065481</c:v>
                </c:pt>
                <c:pt idx="9">
                  <c:v>775992.36350065481</c:v>
                </c:pt>
                <c:pt idx="10">
                  <c:v>775992.36350065481</c:v>
                </c:pt>
                <c:pt idx="11">
                  <c:v>775992.36350065481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F9E-488A-8EAB-ACD741F0787B}"/>
            </c:ext>
          </c:extLst>
        </c:ser>
        <c:ser>
          <c:idx val="5"/>
          <c:order val="5"/>
          <c:tx>
            <c:strRef>
              <c:f>Calculation!$G$4:$G$7</c:f>
              <c:strCache>
                <c:ptCount val="4"/>
                <c:pt idx="2">
                  <c:v>ES75</c:v>
                </c:pt>
                <c:pt idx="3">
                  <c:v>kBtu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Calculation!$G$8:$G$20</c15:sqref>
                  </c15:fullRef>
                </c:ext>
              </c:extLst>
              <c:f>Calculation!$G$8:$G$19</c:f>
              <c:numCache>
                <c:formatCode>#,##0_);\(#,##0\)</c:formatCode>
                <c:ptCount val="12"/>
                <c:pt idx="0">
                  <c:v>584753.70179714286</c:v>
                </c:pt>
                <c:pt idx="1">
                  <c:v>584753.70179714286</c:v>
                </c:pt>
                <c:pt idx="2">
                  <c:v>584753.70179714286</c:v>
                </c:pt>
                <c:pt idx="3">
                  <c:v>584753.70179714286</c:v>
                </c:pt>
                <c:pt idx="4">
                  <c:v>584753.70179714286</c:v>
                </c:pt>
                <c:pt idx="5">
                  <c:v>584753.70179714286</c:v>
                </c:pt>
                <c:pt idx="6">
                  <c:v>584753.70179714286</c:v>
                </c:pt>
                <c:pt idx="7">
                  <c:v>584753.70179714286</c:v>
                </c:pt>
                <c:pt idx="8">
                  <c:v>584753.70179714286</c:v>
                </c:pt>
                <c:pt idx="9">
                  <c:v>584753.70179714286</c:v>
                </c:pt>
                <c:pt idx="10">
                  <c:v>584753.70179714286</c:v>
                </c:pt>
                <c:pt idx="11">
                  <c:v>584753.70179714286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F9E-488A-8EAB-ACD741F0787B}"/>
            </c:ext>
          </c:extLst>
        </c:ser>
        <c:ser>
          <c:idx val="27"/>
          <c:order val="26"/>
          <c:tx>
            <c:strRef>
              <c:f>Calculation!$AK$6</c:f>
              <c:strCache>
                <c:ptCount val="1"/>
                <c:pt idx="0">
                  <c:v>NG CONSUMPTION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Calculation!$A$8:$A$20</c15:sqref>
                  </c15:fullRef>
                </c:ext>
              </c:extLst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Calculation!$AK$8:$AK$19</c15:sqref>
                  </c15:fullRef>
                </c:ext>
              </c:extLst>
              <c:f>Calculation!$AK$8:$AK$19</c:f>
              <c:numCache>
                <c:formatCode>#,##0_);\(#,##0\)</c:formatCode>
                <c:ptCount val="12"/>
                <c:pt idx="0">
                  <c:v>1049587.1451765001</c:v>
                </c:pt>
                <c:pt idx="1">
                  <c:v>919142.77059149998</c:v>
                </c:pt>
                <c:pt idx="2">
                  <c:v>1055003.7561419997</c:v>
                </c:pt>
                <c:pt idx="3">
                  <c:v>564346.55477399996</c:v>
                </c:pt>
                <c:pt idx="4">
                  <c:v>618207.06373649999</c:v>
                </c:pt>
                <c:pt idx="5">
                  <c:v>488938.77248999994</c:v>
                </c:pt>
                <c:pt idx="6">
                  <c:v>661516.75312799995</c:v>
                </c:pt>
                <c:pt idx="7">
                  <c:v>791062.25011799985</c:v>
                </c:pt>
                <c:pt idx="8">
                  <c:v>1181877.3592289998</c:v>
                </c:pt>
                <c:pt idx="9">
                  <c:v>836908.54145850008</c:v>
                </c:pt>
                <c:pt idx="10">
                  <c:v>681985.6683149999</c:v>
                </c:pt>
                <c:pt idx="11">
                  <c:v>902019.09016799985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84-4F63-A2E1-AF001E9F3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90607"/>
        <c:axId val="18772532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Calculation!$A$7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Calculation!$B$8:$B$20</c15:sqref>
                        </c15:fullRef>
                        <c15:formulaRef>
                          <c15:sqref>Calculation!$B$8:$B$19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2022</c:v>
                      </c:pt>
                      <c:pt idx="1">
                        <c:v>2022</c:v>
                      </c:pt>
                      <c:pt idx="2">
                        <c:v>2022</c:v>
                      </c:pt>
                      <c:pt idx="3">
                        <c:v>2022</c:v>
                      </c:pt>
                      <c:pt idx="4">
                        <c:v>2022</c:v>
                      </c:pt>
                      <c:pt idx="5">
                        <c:v>2022</c:v>
                      </c:pt>
                      <c:pt idx="6">
                        <c:v>2022</c:v>
                      </c:pt>
                      <c:pt idx="7">
                        <c:v>2022</c:v>
                      </c:pt>
                      <c:pt idx="8">
                        <c:v>2022</c:v>
                      </c:pt>
                      <c:pt idx="9">
                        <c:v>2022</c:v>
                      </c:pt>
                      <c:pt idx="10">
                        <c:v>2022</c:v>
                      </c:pt>
                      <c:pt idx="11">
                        <c:v>2022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9F9E-488A-8EAB-ACD741F0787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Calculation!$C$4:$C$7</c15:sqref>
                        </c15:formulaRef>
                      </c:ext>
                    </c:extLst>
                    <c:strCache>
                      <c:ptCount val="4"/>
                      <c:pt idx="2">
                        <c:v>Electrical CONSUMPTION</c:v>
                      </c:pt>
                      <c:pt idx="3">
                        <c:v>KWH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Calculation!$C$8:$C$20</c15:sqref>
                        </c15:fullRef>
                        <c15:formulaRef>
                          <c15:sqref>Calculation!$C$8:$C$19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282276.43762500002</c:v>
                      </c:pt>
                      <c:pt idx="1">
                        <c:v>243507.57637499998</c:v>
                      </c:pt>
                      <c:pt idx="2">
                        <c:v>278232.85349999997</c:v>
                      </c:pt>
                      <c:pt idx="3">
                        <c:v>161785.03949999998</c:v>
                      </c:pt>
                      <c:pt idx="4">
                        <c:v>171885.317625</c:v>
                      </c:pt>
                      <c:pt idx="5">
                        <c:v>137826.83249999999</c:v>
                      </c:pt>
                      <c:pt idx="6">
                        <c:v>192202.79399999999</c:v>
                      </c:pt>
                      <c:pt idx="7">
                        <c:v>229316.25149999998</c:v>
                      </c:pt>
                      <c:pt idx="8">
                        <c:v>342687.09824999998</c:v>
                      </c:pt>
                      <c:pt idx="9">
                        <c:v>240032.38612500002</c:v>
                      </c:pt>
                      <c:pt idx="10">
                        <c:v>195765.96375</c:v>
                      </c:pt>
                      <c:pt idx="11">
                        <c:v>240545.21399999998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F9E-488A-8EAB-ACD741F0787B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Calculation!$H$4:$H$7</c15:sqref>
                        </c15:formulaRef>
                      </c:ext>
                    </c:extLst>
                    <c:strCache>
                      <c:ptCount val="4"/>
                      <c:pt idx="2">
                        <c:v>Operational Hours</c:v>
                      </c:pt>
                      <c:pt idx="3">
                        <c:v>H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Calculation!$H$8:$H$20</c15:sqref>
                        </c15:fullRef>
                        <c15:formulaRef>
                          <c15:sqref>Calculation!$H$8:$H$19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364.20064011379804</c:v>
                      </c:pt>
                      <c:pt idx="1">
                        <c:v>284.9916774193548</c:v>
                      </c:pt>
                      <c:pt idx="2">
                        <c:v>495.8062868369351</c:v>
                      </c:pt>
                      <c:pt idx="3">
                        <c:v>215.16686217008797</c:v>
                      </c:pt>
                      <c:pt idx="4">
                        <c:v>52.599544534412956</c:v>
                      </c:pt>
                      <c:pt idx="5">
                        <c:v>118.72079772079771</c:v>
                      </c:pt>
                      <c:pt idx="6">
                        <c:v>251.56363636363633</c:v>
                      </c:pt>
                      <c:pt idx="7">
                        <c:v>271.18200782268576</c:v>
                      </c:pt>
                      <c:pt idx="8">
                        <c:v>399.00808729139919</c:v>
                      </c:pt>
                      <c:pt idx="9">
                        <c:v>315.07445730824895</c:v>
                      </c:pt>
                      <c:pt idx="10">
                        <c:v>216.01642335766422</c:v>
                      </c:pt>
                      <c:pt idx="11">
                        <c:v>258.50900473933649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F9E-488A-8EAB-ACD741F0787B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Calculation!$Q$4:$Q$7</c15:sqref>
                        </c15:formulaRef>
                      </c:ext>
                    </c:extLst>
                    <c:strCache>
                      <c:ptCount val="4"/>
                      <c:pt idx="2">
                        <c:v>Days</c:v>
                      </c:pt>
                      <c:pt idx="3">
                        <c:v>kBtu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Calculation!$Q$8:$Q$20</c15:sqref>
                        </c15:fullRef>
                        <c15:formulaRef>
                          <c15:sqref>Calculation!$Q$8:$Q$19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F9E-488A-8EAB-ACD741F0787B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Calculation!$R$4:$R$7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METERED</c:v>
                      </c:pt>
                      <c:pt idx="3">
                        <c:v>KW*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Calculation!$R$8:$R$20</c15:sqref>
                        </c15:fullRef>
                        <c15:formulaRef>
                          <c15:sqref>Calculation!$R$8:$R$19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775.0575</c:v>
                      </c:pt>
                      <c:pt idx="1">
                        <c:v>854.4375</c:v>
                      </c:pt>
                      <c:pt idx="2">
                        <c:v>561.17250000000001</c:v>
                      </c:pt>
                      <c:pt idx="3">
                        <c:v>751.90499999999997</c:v>
                      </c:pt>
                      <c:pt idx="4">
                        <c:v>3267.81</c:v>
                      </c:pt>
                      <c:pt idx="5">
                        <c:v>1160.9325000000001</c:v>
                      </c:pt>
                      <c:pt idx="6">
                        <c:v>764.03250000000003</c:v>
                      </c:pt>
                      <c:pt idx="7">
                        <c:v>845.61750000000006</c:v>
                      </c:pt>
                      <c:pt idx="8">
                        <c:v>858.84750000000008</c:v>
                      </c:pt>
                      <c:pt idx="9">
                        <c:v>761.82749999999999</c:v>
                      </c:pt>
                      <c:pt idx="10">
                        <c:v>906.255</c:v>
                      </c:pt>
                      <c:pt idx="11">
                        <c:v>930.51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F9E-488A-8EAB-ACD741F0787B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Calculation!$S$4:$S$7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CHARGED</c:v>
                      </c:pt>
                      <c:pt idx="3">
                        <c:v>KW*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Calculation!$S$8:$S$20</c15:sqref>
                        </c15:fullRef>
                        <c15:formulaRef>
                          <c15:sqref>Calculation!$S$8:$S$19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775.0575</c:v>
                      </c:pt>
                      <c:pt idx="1">
                        <c:v>854.4375</c:v>
                      </c:pt>
                      <c:pt idx="2">
                        <c:v>561.17250000000001</c:v>
                      </c:pt>
                      <c:pt idx="3">
                        <c:v>751.90499999999997</c:v>
                      </c:pt>
                      <c:pt idx="4">
                        <c:v>3267.81</c:v>
                      </c:pt>
                      <c:pt idx="5">
                        <c:v>1160.9325000000001</c:v>
                      </c:pt>
                      <c:pt idx="6">
                        <c:v>764.03250000000003</c:v>
                      </c:pt>
                      <c:pt idx="7">
                        <c:v>845.61750000000006</c:v>
                      </c:pt>
                      <c:pt idx="8">
                        <c:v>858.84750000000008</c:v>
                      </c:pt>
                      <c:pt idx="9">
                        <c:v>761.82749999999999</c:v>
                      </c:pt>
                      <c:pt idx="10">
                        <c:v>906.255</c:v>
                      </c:pt>
                      <c:pt idx="11">
                        <c:v>930.51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F9E-488A-8EAB-ACD741F0787B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Calculation!$T$4:$T$7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CHARGED</c:v>
                      </c:pt>
                      <c:pt idx="3">
                        <c:v>KW*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Calculation!$T$8:$T$20</c15:sqref>
                        </c15:fullRef>
                        <c15:formulaRef>
                          <c15:sqref>Calculation!$T$8:$T$19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F9E-488A-8EAB-ACD741F0787B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Calculation!$U$4:$U$7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Cost</c:v>
                      </c:pt>
                      <c:pt idx="3">
                        <c:v>CHARGED ($/KW)*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Calculation!$U$8:$U$20</c15:sqref>
                        </c15:fullRef>
                        <c15:formulaRef>
                          <c15:sqref>Calculation!$U$8:$U$19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F9E-488A-8EAB-ACD741F0787B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Calculation!$V$4:$V$7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Cost</c:v>
                      </c:pt>
                      <c:pt idx="3">
                        <c:v>DEMAND ($/KW)*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Calculation!$V$8:$V$20</c15:sqref>
                        </c15:fullRef>
                        <c15:formulaRef>
                          <c15:sqref>Calculation!$V$8:$V$19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14932.971084251743</c:v>
                      </c:pt>
                      <c:pt idx="1">
                        <c:v>16586.575629351839</c:v>
                      </c:pt>
                      <c:pt idx="2">
                        <c:v>14470.858137745798</c:v>
                      </c:pt>
                      <c:pt idx="3">
                        <c:v>19562.825141494741</c:v>
                      </c:pt>
                      <c:pt idx="4">
                        <c:v>22762.302616217428</c:v>
                      </c:pt>
                      <c:pt idx="5">
                        <c:v>34684.337872112512</c:v>
                      </c:pt>
                      <c:pt idx="6">
                        <c:v>25339.249272376306</c:v>
                      </c:pt>
                      <c:pt idx="7">
                        <c:v>22037.112212946075</c:v>
                      </c:pt>
                      <c:pt idx="8">
                        <c:v>26474.882532363717</c:v>
                      </c:pt>
                      <c:pt idx="9">
                        <c:v>30379.075732675217</c:v>
                      </c:pt>
                      <c:pt idx="10">
                        <c:v>23104.361672748797</c:v>
                      </c:pt>
                      <c:pt idx="11">
                        <c:v>25280.050652998154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F9E-488A-8EAB-ACD741F0787B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Calculation!$W$4:$W$7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Cost</c:v>
                      </c:pt>
                      <c:pt idx="3">
                        <c:v>DEMAND ($/KW)*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Calculation!$W$8:$W$20</c15:sqref>
                        </c15:fullRef>
                        <c15:formulaRef>
                          <c15:sqref>Calculation!$W$8:$W$19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C68-4319-9AE2-9288388920B4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Calculation!$X$4:$X$7</c15:sqref>
                        </c15:formulaRef>
                      </c:ext>
                    </c:extLst>
                    <c:strCache>
                      <c:ptCount val="4"/>
                      <c:pt idx="1">
                        <c:v>DEMAND</c:v>
                      </c:pt>
                      <c:pt idx="2">
                        <c:v>Cost</c:v>
                      </c:pt>
                      <c:pt idx="3">
                        <c:v>DEMAND ($/KW)*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Calculation!$X$8:$X$20</c15:sqref>
                        </c15:fullRef>
                        <c15:formulaRef>
                          <c15:sqref>Calculation!$X$8:$X$19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C68-4319-9AE2-9288388920B4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Calculation!$Y$4:$Y$7</c15:sqref>
                        </c15:formulaRef>
                      </c:ext>
                    </c:extLst>
                    <c:strCache>
                      <c:ptCount val="4"/>
                      <c:pt idx="1">
                        <c:v>TOTAL ALL</c:v>
                      </c:pt>
                      <c:pt idx="2">
                        <c:v>ELECTRIC</c:v>
                      </c:pt>
                      <c:pt idx="3">
                        <c:v>RATE ($/KW)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Calculation!$Y$8:$Y$20</c15:sqref>
                        </c15:fullRef>
                        <c15:formulaRef>
                          <c15:sqref>Calculation!$Y$8:$Y$19</c15:sqref>
                        </c15:formulaRef>
                      </c:ext>
                    </c:extLst>
                    <c:numCache>
                      <c:formatCode>#,##0.000;\-#,##0.000</c:formatCode>
                      <c:ptCount val="12"/>
                      <c:pt idx="0">
                        <c:v>5.2901939708088458E-2</c:v>
                      </c:pt>
                      <c:pt idx="1">
                        <c:v>6.8115234344120063E-2</c:v>
                      </c:pt>
                      <c:pt idx="2">
                        <c:v>5.2009882929751859E-2</c:v>
                      </c:pt>
                      <c:pt idx="3">
                        <c:v>0.12091862882967459</c:v>
                      </c:pt>
                      <c:pt idx="4">
                        <c:v>0.13242726563695018</c:v>
                      </c:pt>
                      <c:pt idx="5">
                        <c:v>0.25165156336385019</c:v>
                      </c:pt>
                      <c:pt idx="6">
                        <c:v>0.13183600896236872</c:v>
                      </c:pt>
                      <c:pt idx="7">
                        <c:v>9.6099216993114314E-2</c:v>
                      </c:pt>
                      <c:pt idx="8">
                        <c:v>7.7256723896414498E-2</c:v>
                      </c:pt>
                      <c:pt idx="9">
                        <c:v>0.12656240361188142</c:v>
                      </c:pt>
                      <c:pt idx="10">
                        <c:v>0.11802031992779846</c:v>
                      </c:pt>
                      <c:pt idx="11">
                        <c:v>0.10509479790771541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C68-4319-9AE2-9288388920B4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Calculation!$Z$4:$Z$7</c15:sqref>
                        </c15:formulaRef>
                      </c:ext>
                    </c:extLst>
                    <c:strCache>
                      <c:ptCount val="4"/>
                      <c:pt idx="1">
                        <c:v>TOTAL ALL</c:v>
                      </c:pt>
                      <c:pt idx="2">
                        <c:v>ELECTRIC</c:v>
                      </c:pt>
                      <c:pt idx="3">
                        <c:v>COSTS ($)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Calculation!$Z$8:$Z$20</c15:sqref>
                        </c15:fullRef>
                        <c15:formulaRef>
                          <c15:sqref>Calculation!$Z$8:$Z$19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C68-4319-9AE2-9288388920B4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Calculation!$AA$4:$AA$7</c15:sqref>
                        </c15:formulaRef>
                      </c:ext>
                    </c:extLst>
                    <c:strCache>
                      <c:ptCount val="4"/>
                      <c:pt idx="0">
                        <c:v>NATURAL GAS / FUEL</c:v>
                      </c:pt>
                      <c:pt idx="1">
                        <c:v>NG</c:v>
                      </c:pt>
                      <c:pt idx="2">
                        <c:v>CONSUMPTION</c:v>
                      </c:pt>
                      <c:pt idx="3">
                        <c:v>Mcf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Calculation!$AA$8:$AA$20</c15:sqref>
                        </c15:fullRef>
                        <c15:formulaRef>
                          <c15:sqref>Calculation!$AA$8:$AA$19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841.05</c:v>
                      </c:pt>
                      <c:pt idx="1">
                        <c:v>858.9</c:v>
                      </c:pt>
                      <c:pt idx="2">
                        <c:v>1027.95</c:v>
                      </c:pt>
                      <c:pt idx="3">
                        <c:v>120</c:v>
                      </c:pt>
                      <c:pt idx="4">
                        <c:v>308.7</c:v>
                      </c:pt>
                      <c:pt idx="5">
                        <c:v>181.65</c:v>
                      </c:pt>
                      <c:pt idx="6">
                        <c:v>55.65</c:v>
                      </c:pt>
                      <c:pt idx="7">
                        <c:v>84</c:v>
                      </c:pt>
                      <c:pt idx="8">
                        <c:v>122.85</c:v>
                      </c:pt>
                      <c:pt idx="9">
                        <c:v>174.3</c:v>
                      </c:pt>
                      <c:pt idx="10">
                        <c:v>136.5</c:v>
                      </c:pt>
                      <c:pt idx="11">
                        <c:v>790.65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C68-4319-9AE2-9288388920B4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Calculation!$AB$4:$AB$7</c15:sqref>
                        </c15:formulaRef>
                      </c:ext>
                    </c:extLst>
                    <c:strCache>
                      <c:ptCount val="4"/>
                      <c:pt idx="0">
                        <c:v>NATURAL GAS / FUEL</c:v>
                      </c:pt>
                      <c:pt idx="1">
                        <c:v>NG</c:v>
                      </c:pt>
                      <c:pt idx="2">
                        <c:v>CONSUMPTION</c:v>
                      </c:pt>
                      <c:pt idx="3">
                        <c:v>Therms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Calculation!$AB$8:$AB$20</c15:sqref>
                        </c15:fullRef>
                        <c15:formulaRef>
                          <c15:sqref>Calculation!$AB$8:$AB$19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8730.0990000000002</c:v>
                      </c:pt>
                      <c:pt idx="1">
                        <c:v>8915.3819999999996</c:v>
                      </c:pt>
                      <c:pt idx="2">
                        <c:v>10670.121000000001</c:v>
                      </c:pt>
                      <c:pt idx="3">
                        <c:v>1245.6000000000001</c:v>
                      </c:pt>
                      <c:pt idx="4">
                        <c:v>3204.306</c:v>
                      </c:pt>
                      <c:pt idx="5">
                        <c:v>1885.5270000000003</c:v>
                      </c:pt>
                      <c:pt idx="6">
                        <c:v>577.64700000000005</c:v>
                      </c:pt>
                      <c:pt idx="7">
                        <c:v>871.92000000000007</c:v>
                      </c:pt>
                      <c:pt idx="8">
                        <c:v>1275.183</c:v>
                      </c:pt>
                      <c:pt idx="9">
                        <c:v>1809.2340000000002</c:v>
                      </c:pt>
                      <c:pt idx="10">
                        <c:v>1416.8700000000001</c:v>
                      </c:pt>
                      <c:pt idx="11">
                        <c:v>8206.9470000000001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C68-4319-9AE2-9288388920B4}"/>
                  </c:ext>
                </c:extLst>
              </c15:ser>
            </c15:filteredLineSeries>
            <c15:filteredLine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Calculation!$AF$4:$AF$7</c15:sqref>
                        </c15:formulaRef>
                      </c:ext>
                    </c:extLst>
                    <c:strCache>
                      <c:ptCount val="4"/>
                      <c:pt idx="0">
                        <c:v>NATURAL GAS / FUEL</c:v>
                      </c:pt>
                      <c:pt idx="1">
                        <c:v>NG Other</c:v>
                      </c:pt>
                      <c:pt idx="2">
                        <c:v>TOTAL</c:v>
                      </c:pt>
                      <c:pt idx="3">
                        <c:v>COSTS ($)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Calculation!$A$8:$A$20</c15:sqref>
                        </c15:fullRef>
                        <c15:formulaRef>
                          <c15:sqref>Calculation!$A$8:$A$19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Calculation!$AF$8:$AF$20</c15:sqref>
                        </c15:fullRef>
                        <c15:formulaRef>
                          <c15:sqref>Calculation!$AF$8:$AF$19</c15:sqref>
                        </c15:formulaRef>
                      </c:ext>
                    </c:extLst>
                    <c:numCache>
                      <c:formatCode>#,##0_);\(#,##0\)</c:formatCode>
                      <c:ptCount val="12"/>
                      <c:pt idx="0">
                        <c:v>2825353.9833750003</c:v>
                      </c:pt>
                      <c:pt idx="1">
                        <c:v>1325712.1499999999</c:v>
                      </c:pt>
                      <c:pt idx="2">
                        <c:v>1187713.9890000001</c:v>
                      </c:pt>
                      <c:pt idx="3">
                        <c:v>90360.900000000009</c:v>
                      </c:pt>
                      <c:pt idx="4">
                        <c:v>266827.93200000003</c:v>
                      </c:pt>
                      <c:pt idx="5">
                        <c:v>191257.01437499997</c:v>
                      </c:pt>
                      <c:pt idx="6">
                        <c:v>69391.515375000003</c:v>
                      </c:pt>
                      <c:pt idx="7">
                        <c:v>102519.27</c:v>
                      </c:pt>
                      <c:pt idx="8">
                        <c:v>352691.29349999997</c:v>
                      </c:pt>
                      <c:pt idx="9">
                        <c:v>655285.20750000002</c:v>
                      </c:pt>
                      <c:pt idx="10">
                        <c:v>627097.03874999995</c:v>
                      </c:pt>
                      <c:pt idx="11">
                        <c:v>2860891.9132499998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C68-4319-9AE2-9288388920B4}"/>
                  </c:ext>
                </c:extLst>
              </c15:ser>
            </c15:filteredLineSeries>
          </c:ext>
        </c:extLst>
      </c:lineChart>
      <c:catAx>
        <c:axId val="30239060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5327"/>
        <c:crossesAt val="1"/>
        <c:auto val="1"/>
        <c:lblAlgn val="ctr"/>
        <c:lblOffset val="100"/>
        <c:noMultiLvlLbl val="0"/>
      </c:catAx>
      <c:valAx>
        <c:axId val="18772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90607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solidFill>
          <a:schemeClr val="accent2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Future</a:t>
            </a:r>
            <a:r>
              <a:rPr lang="en-IN" baseline="0"/>
              <a:t> (with ECM)</a:t>
            </a:r>
            <a:r>
              <a:rPr lang="en-IN"/>
              <a:t> </a:t>
            </a:r>
          </a:p>
        </c:rich>
      </c:tx>
      <c:layout>
        <c:manualLayout>
          <c:xMode val="edge"/>
          <c:yMode val="edge"/>
          <c:x val="0.26771669996467984"/>
          <c:y val="4.5827544749104852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649517707514193E-2"/>
          <c:y val="0.1545222424271683"/>
          <c:w val="0.63106183364654134"/>
          <c:h val="0.65161191909814531"/>
        </c:manualLayout>
      </c:layout>
      <c:barChart>
        <c:barDir val="col"/>
        <c:grouping val="stacked"/>
        <c:varyColors val="0"/>
        <c:ser>
          <c:idx val="5"/>
          <c:order val="4"/>
          <c:tx>
            <c:strRef>
              <c:f>Calculation!$M$6</c:f>
              <c:strCache>
                <c:ptCount val="1"/>
                <c:pt idx="0">
                  <c:v>Electrical Misc.</c:v>
                </c:pt>
              </c:strCache>
            </c:strRef>
          </c:tx>
          <c:spPr>
            <a:solidFill>
              <a:srgbClr val="CCFFFF"/>
            </a:solidFill>
          </c:spPr>
          <c:invertIfNegative val="0"/>
          <c:val>
            <c:numRef>
              <c:f>Calculation!$M$8:$M$19</c:f>
              <c:numCache>
                <c:formatCode>#,##0</c:formatCode>
                <c:ptCount val="12"/>
                <c:pt idx="0">
                  <c:v>94988.898044601752</c:v>
                </c:pt>
                <c:pt idx="1">
                  <c:v>94988.898044601752</c:v>
                </c:pt>
                <c:pt idx="2">
                  <c:v>94988.898044601752</c:v>
                </c:pt>
                <c:pt idx="3">
                  <c:v>94988.898044601752</c:v>
                </c:pt>
                <c:pt idx="4">
                  <c:v>94988.898044601752</c:v>
                </c:pt>
                <c:pt idx="5">
                  <c:v>94988.898044601752</c:v>
                </c:pt>
                <c:pt idx="6">
                  <c:v>94988.898044601752</c:v>
                </c:pt>
                <c:pt idx="7">
                  <c:v>94988.898044601752</c:v>
                </c:pt>
                <c:pt idx="8">
                  <c:v>94988.898044601752</c:v>
                </c:pt>
                <c:pt idx="9">
                  <c:v>94988.898044601752</c:v>
                </c:pt>
                <c:pt idx="10">
                  <c:v>94988.898044601752</c:v>
                </c:pt>
                <c:pt idx="11">
                  <c:v>94988.898044601752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322F-4050-A7AB-B9CB9F4C2A15}"/>
            </c:ext>
          </c:extLst>
        </c:ser>
        <c:ser>
          <c:idx val="4"/>
          <c:order val="5"/>
          <c:tx>
            <c:strRef>
              <c:f>Calculation!$N$6</c:f>
              <c:strCache>
                <c:ptCount val="1"/>
                <c:pt idx="0">
                  <c:v>Lighting</c:v>
                </c:pt>
              </c:strCache>
            </c:strRef>
          </c:tx>
          <c:spPr>
            <a:solidFill>
              <a:srgbClr val="3399FF"/>
            </a:solidFill>
          </c:spPr>
          <c:invertIfNegative val="0"/>
          <c:val>
            <c:numRef>
              <c:f>Calculation!$N$8:$N$19</c:f>
              <c:numCache>
                <c:formatCode>#,##0_);\(#,##0\)</c:formatCode>
                <c:ptCount val="12"/>
                <c:pt idx="0">
                  <c:v>108117.44492881501</c:v>
                </c:pt>
                <c:pt idx="1">
                  <c:v>108117.44492881501</c:v>
                </c:pt>
                <c:pt idx="2">
                  <c:v>108117.44492881501</c:v>
                </c:pt>
                <c:pt idx="3">
                  <c:v>108117.44492881501</c:v>
                </c:pt>
                <c:pt idx="4">
                  <c:v>108117.44492881501</c:v>
                </c:pt>
                <c:pt idx="5">
                  <c:v>108117.44492881501</c:v>
                </c:pt>
                <c:pt idx="6">
                  <c:v>108117.44492881501</c:v>
                </c:pt>
                <c:pt idx="7">
                  <c:v>108117.44492881501</c:v>
                </c:pt>
                <c:pt idx="8">
                  <c:v>108117.44492881501</c:v>
                </c:pt>
                <c:pt idx="9">
                  <c:v>108117.44492881501</c:v>
                </c:pt>
                <c:pt idx="10">
                  <c:v>108117.44492881501</c:v>
                </c:pt>
                <c:pt idx="11">
                  <c:v>108117.44492881501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322F-4050-A7AB-B9CB9F4C2A15}"/>
            </c:ext>
          </c:extLst>
        </c:ser>
        <c:ser>
          <c:idx val="6"/>
          <c:order val="6"/>
          <c:tx>
            <c:strRef>
              <c:f>Calculation!$O$6</c:f>
              <c:strCache>
                <c:ptCount val="1"/>
                <c:pt idx="0">
                  <c:v>Cooling</c:v>
                </c:pt>
              </c:strCache>
            </c:strRef>
          </c:tx>
          <c:spPr>
            <a:solidFill>
              <a:srgbClr val="33CCFF"/>
            </a:solidFill>
          </c:spPr>
          <c:invertIfNegative val="0"/>
          <c:val>
            <c:numRef>
              <c:f>Calculation!$O$8:$O$19</c:f>
              <c:numCache>
                <c:formatCode>#,##0_);\(#,##0\)</c:formatCode>
                <c:ptCount val="12"/>
                <c:pt idx="0">
                  <c:v>346850.21374159277</c:v>
                </c:pt>
                <c:pt idx="1">
                  <c:v>201472.88451039215</c:v>
                </c:pt>
                <c:pt idx="2">
                  <c:v>372701.41120042419</c:v>
                </c:pt>
                <c:pt idx="3">
                  <c:v>107764.02917275271</c:v>
                </c:pt>
                <c:pt idx="4">
                  <c:v>106749.66297302998</c:v>
                </c:pt>
                <c:pt idx="5">
                  <c:v>46418.457456393699</c:v>
                </c:pt>
                <c:pt idx="6">
                  <c:v>225028.78435382625</c:v>
                </c:pt>
                <c:pt idx="7">
                  <c:v>369045.59534178511</c:v>
                </c:pt>
                <c:pt idx="8">
                  <c:v>655096.03815195197</c:v>
                </c:pt>
                <c:pt idx="9">
                  <c:v>333409.8334528238</c:v>
                </c:pt>
                <c:pt idx="10">
                  <c:v>140817.59062520621</c:v>
                </c:pt>
                <c:pt idx="11">
                  <c:v>217950.39720050618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322F-4050-A7AB-B9CB9F4C2A15}"/>
            </c:ext>
          </c:extLst>
        </c:ser>
        <c:ser>
          <c:idx val="7"/>
          <c:order val="7"/>
          <c:tx>
            <c:strRef>
              <c:f>Calculation!$P$6</c:f>
              <c:strCache>
                <c:ptCount val="1"/>
                <c:pt idx="0">
                  <c:v>Electrical Heat</c:v>
                </c:pt>
              </c:strCache>
            </c:strRef>
          </c:tx>
          <c:spPr>
            <a:solidFill>
              <a:srgbClr val="3366CC"/>
            </a:solidFill>
          </c:spPr>
          <c:invertIfNegative val="0"/>
          <c:val>
            <c:numRef>
              <c:f>Calculation!$P$8:$P$19</c:f>
              <c:numCache>
                <c:formatCode>#,##0_);\(#,##0\)</c:formatCode>
                <c:ptCount val="12"/>
                <c:pt idx="0">
                  <c:v>209769.10528744169</c:v>
                </c:pt>
                <c:pt idx="1">
                  <c:v>230311.02418396383</c:v>
                </c:pt>
                <c:pt idx="2">
                  <c:v>169170.69441250435</c:v>
                </c:pt>
                <c:pt idx="3">
                  <c:v>51916.592676494693</c:v>
                </c:pt>
                <c:pt idx="4">
                  <c:v>87091.196504870255</c:v>
                </c:pt>
                <c:pt idx="5">
                  <c:v>34917.187572382492</c:v>
                </c:pt>
                <c:pt idx="6">
                  <c:v>32461.898689836002</c:v>
                </c:pt>
                <c:pt idx="7">
                  <c:v>7746.0277961681986</c:v>
                </c:pt>
                <c:pt idx="8">
                  <c:v>92604.471634936795</c:v>
                </c:pt>
                <c:pt idx="9">
                  <c:v>81080.059644391513</c:v>
                </c:pt>
                <c:pt idx="10">
                  <c:v>132254.78672636999</c:v>
                </c:pt>
                <c:pt idx="11">
                  <c:v>203133.21686657998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322F-4050-A7AB-B9CB9F4C2A15}"/>
            </c:ext>
          </c:extLst>
        </c:ser>
        <c:ser>
          <c:idx val="9"/>
          <c:order val="9"/>
          <c:tx>
            <c:strRef>
              <c:f>Calculation!$AG$5</c:f>
              <c:strCache>
                <c:ptCount val="1"/>
                <c:pt idx="0">
                  <c:v>New NG Heat</c:v>
                </c:pt>
              </c:strCache>
            </c:strRef>
          </c:tx>
          <c:invertIfNegative val="0"/>
          <c:val>
            <c:numRef>
              <c:f>Calculation!$AG$8:$AG$19</c:f>
              <c:numCache>
                <c:formatCode>#,##0_);\(#,##0\)</c:formatCode>
                <c:ptCount val="12"/>
                <c:pt idx="0">
                  <c:v>41068.471499999992</c:v>
                </c:pt>
                <c:pt idx="1">
                  <c:v>41940.087</c:v>
                </c:pt>
                <c:pt idx="2">
                  <c:v>50194.798499999997</c:v>
                </c:pt>
                <c:pt idx="3">
                  <c:v>5859.6</c:v>
                </c:pt>
                <c:pt idx="4">
                  <c:v>15073.820999999998</c:v>
                </c:pt>
                <c:pt idx="5">
                  <c:v>8869.9694999999992</c:v>
                </c:pt>
                <c:pt idx="6">
                  <c:v>2717.3894999999998</c:v>
                </c:pt>
                <c:pt idx="7">
                  <c:v>4101.7199999999993</c:v>
                </c:pt>
                <c:pt idx="8">
                  <c:v>5998.7654999999995</c:v>
                </c:pt>
                <c:pt idx="9">
                  <c:v>8511.0689999999995</c:v>
                </c:pt>
                <c:pt idx="10">
                  <c:v>6665.2949999999992</c:v>
                </c:pt>
                <c:pt idx="11">
                  <c:v>38607.439499999993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322F-4050-A7AB-B9CB9F4C2A15}"/>
            </c:ext>
          </c:extLst>
        </c:ser>
        <c:ser>
          <c:idx val="10"/>
          <c:order val="10"/>
          <c:tx>
            <c:strRef>
              <c:f>Calculation!$AH$5</c:f>
              <c:strCache>
                <c:ptCount val="1"/>
                <c:pt idx="0">
                  <c:v>New NG Other</c:v>
                </c:pt>
              </c:strCache>
            </c:strRef>
          </c:tx>
          <c:spPr>
            <a:solidFill>
              <a:srgbClr val="FF9933"/>
            </a:solidFill>
          </c:spPr>
          <c:invertIfNegative val="0"/>
          <c:val>
            <c:numRef>
              <c:f>Calculation!$AH$8:$AH$19</c:f>
              <c:numCache>
                <c:formatCode>#,##0_);\(#,##0\)</c:formatCode>
                <c:ptCount val="12"/>
                <c:pt idx="0">
                  <c:v>38906.972999999998</c:v>
                </c:pt>
                <c:pt idx="1">
                  <c:v>39732.714</c:v>
                </c:pt>
                <c:pt idx="2">
                  <c:v>47552.966999999997</c:v>
                </c:pt>
                <c:pt idx="3">
                  <c:v>5551.2</c:v>
                </c:pt>
                <c:pt idx="4">
                  <c:v>14280.462</c:v>
                </c:pt>
                <c:pt idx="5">
                  <c:v>8403.128999999999</c:v>
                </c:pt>
                <c:pt idx="6">
                  <c:v>2574.3689999999997</c:v>
                </c:pt>
                <c:pt idx="7">
                  <c:v>3885.8399999999992</c:v>
                </c:pt>
                <c:pt idx="8">
                  <c:v>5683.0409999999993</c:v>
                </c:pt>
                <c:pt idx="9">
                  <c:v>8063.1180000000004</c:v>
                </c:pt>
                <c:pt idx="10">
                  <c:v>6314.49</c:v>
                </c:pt>
                <c:pt idx="11">
                  <c:v>36575.468999999997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322F-4050-A7AB-B9CB9F4C2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390607"/>
        <c:axId val="187725327"/>
      </c:barChart>
      <c:lineChart>
        <c:grouping val="standard"/>
        <c:varyColors val="0"/>
        <c:ser>
          <c:idx val="0"/>
          <c:order val="0"/>
          <c:tx>
            <c:strRef>
              <c:f>Calculation!$D$6</c:f>
              <c:strCache>
                <c:ptCount val="1"/>
                <c:pt idx="0">
                  <c:v>Electrical CONSUMPTION</c:v>
                </c:pt>
              </c:strCache>
            </c:strRef>
          </c:tx>
          <c:spPr>
            <a:ln w="254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Calculation!$D$8:$D$19</c:f>
              <c:numCache>
                <c:formatCode>#,##0_);\(#,##0\)</c:formatCode>
                <c:ptCount val="12"/>
                <c:pt idx="0">
                  <c:v>963127.20517650002</c:v>
                </c:pt>
                <c:pt idx="1">
                  <c:v>830847.85059149994</c:v>
                </c:pt>
                <c:pt idx="2">
                  <c:v>949330.49614199984</c:v>
                </c:pt>
                <c:pt idx="3">
                  <c:v>552010.55477399996</c:v>
                </c:pt>
                <c:pt idx="4">
                  <c:v>586472.7037365</c:v>
                </c:pt>
                <c:pt idx="5">
                  <c:v>470265.15248999995</c:v>
                </c:pt>
                <c:pt idx="6">
                  <c:v>655795.933128</c:v>
                </c:pt>
                <c:pt idx="7">
                  <c:v>782427.0501179999</c:v>
                </c:pt>
                <c:pt idx="8">
                  <c:v>1169248.3792289998</c:v>
                </c:pt>
                <c:pt idx="9">
                  <c:v>818990.50145850005</c:v>
                </c:pt>
                <c:pt idx="10">
                  <c:v>667953.46831499995</c:v>
                </c:pt>
                <c:pt idx="11">
                  <c:v>820740.2701679999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22F-4050-A7AB-B9CB9F4C2A15}"/>
            </c:ext>
          </c:extLst>
        </c:ser>
        <c:ser>
          <c:idx val="1"/>
          <c:order val="1"/>
          <c:tx>
            <c:strRef>
              <c:f>Calculation!$E$6</c:f>
              <c:strCache>
                <c:ptCount val="1"/>
                <c:pt idx="0">
                  <c:v>ES25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Calculation!$E$8:$E$19</c:f>
              <c:numCache>
                <c:formatCode>#,##0_);\(#,##0\)</c:formatCode>
                <c:ptCount val="12"/>
                <c:pt idx="0">
                  <c:v>1005168.0662603573</c:v>
                </c:pt>
                <c:pt idx="1">
                  <c:v>1005168.0662603573</c:v>
                </c:pt>
                <c:pt idx="2">
                  <c:v>1005168.0662603573</c:v>
                </c:pt>
                <c:pt idx="3">
                  <c:v>1005168.0662603573</c:v>
                </c:pt>
                <c:pt idx="4">
                  <c:v>1005168.0662603573</c:v>
                </c:pt>
                <c:pt idx="5">
                  <c:v>1005168.0662603573</c:v>
                </c:pt>
                <c:pt idx="6">
                  <c:v>1005168.0662603573</c:v>
                </c:pt>
                <c:pt idx="7">
                  <c:v>1005168.0662603573</c:v>
                </c:pt>
                <c:pt idx="8">
                  <c:v>1005168.0662603573</c:v>
                </c:pt>
                <c:pt idx="9">
                  <c:v>1005168.0662603573</c:v>
                </c:pt>
                <c:pt idx="10">
                  <c:v>1005168.0662603573</c:v>
                </c:pt>
                <c:pt idx="11">
                  <c:v>1005168.0662603573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22F-4050-A7AB-B9CB9F4C2A15}"/>
            </c:ext>
          </c:extLst>
        </c:ser>
        <c:ser>
          <c:idx val="2"/>
          <c:order val="2"/>
          <c:tx>
            <c:strRef>
              <c:f>Calculation!$F$6</c:f>
              <c:strCache>
                <c:ptCount val="1"/>
                <c:pt idx="0">
                  <c:v>ES50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Calculation!$F$8:$F$19</c:f>
              <c:numCache>
                <c:formatCode>#,##0_);\(#,##0\)</c:formatCode>
                <c:ptCount val="12"/>
                <c:pt idx="0">
                  <c:v>775992.36350065481</c:v>
                </c:pt>
                <c:pt idx="1">
                  <c:v>775992.36350065481</c:v>
                </c:pt>
                <c:pt idx="2">
                  <c:v>775992.36350065481</c:v>
                </c:pt>
                <c:pt idx="3">
                  <c:v>775992.36350065481</c:v>
                </c:pt>
                <c:pt idx="4">
                  <c:v>775992.36350065481</c:v>
                </c:pt>
                <c:pt idx="5">
                  <c:v>775992.36350065481</c:v>
                </c:pt>
                <c:pt idx="6">
                  <c:v>775992.36350065481</c:v>
                </c:pt>
                <c:pt idx="7">
                  <c:v>775992.36350065481</c:v>
                </c:pt>
                <c:pt idx="8">
                  <c:v>775992.36350065481</c:v>
                </c:pt>
                <c:pt idx="9">
                  <c:v>775992.36350065481</c:v>
                </c:pt>
                <c:pt idx="10">
                  <c:v>775992.36350065481</c:v>
                </c:pt>
                <c:pt idx="11">
                  <c:v>775992.36350065481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22F-4050-A7AB-B9CB9F4C2A15}"/>
            </c:ext>
          </c:extLst>
        </c:ser>
        <c:ser>
          <c:idx val="3"/>
          <c:order val="3"/>
          <c:tx>
            <c:strRef>
              <c:f>Calculation!$G$6</c:f>
              <c:strCache>
                <c:ptCount val="1"/>
                <c:pt idx="0">
                  <c:v>ES75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Calculation!$G$8:$G$19</c:f>
              <c:numCache>
                <c:formatCode>#,##0_);\(#,##0\)</c:formatCode>
                <c:ptCount val="12"/>
                <c:pt idx="0">
                  <c:v>584753.70179714286</c:v>
                </c:pt>
                <c:pt idx="1">
                  <c:v>584753.70179714286</c:v>
                </c:pt>
                <c:pt idx="2">
                  <c:v>584753.70179714286</c:v>
                </c:pt>
                <c:pt idx="3">
                  <c:v>584753.70179714286</c:v>
                </c:pt>
                <c:pt idx="4">
                  <c:v>584753.70179714286</c:v>
                </c:pt>
                <c:pt idx="5">
                  <c:v>584753.70179714286</c:v>
                </c:pt>
                <c:pt idx="6">
                  <c:v>584753.70179714286</c:v>
                </c:pt>
                <c:pt idx="7">
                  <c:v>584753.70179714286</c:v>
                </c:pt>
                <c:pt idx="8">
                  <c:v>584753.70179714286</c:v>
                </c:pt>
                <c:pt idx="9">
                  <c:v>584753.70179714286</c:v>
                </c:pt>
                <c:pt idx="10">
                  <c:v>584753.70179714286</c:v>
                </c:pt>
                <c:pt idx="11">
                  <c:v>584753.70179714286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22F-4050-A7AB-B9CB9F4C2A15}"/>
            </c:ext>
          </c:extLst>
        </c:ser>
        <c:ser>
          <c:idx val="8"/>
          <c:order val="8"/>
          <c:tx>
            <c:strRef>
              <c:f>Calculation!$AK$6</c:f>
              <c:strCache>
                <c:ptCount val="1"/>
                <c:pt idx="0">
                  <c:v>NG CONSUMPTION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Calculation!$A$8:$A$19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Calculation!$AK$8:$AK$19</c:f>
              <c:numCache>
                <c:formatCode>#,##0_);\(#,##0\)</c:formatCode>
                <c:ptCount val="12"/>
                <c:pt idx="0">
                  <c:v>1049587.1451765001</c:v>
                </c:pt>
                <c:pt idx="1">
                  <c:v>919142.77059149998</c:v>
                </c:pt>
                <c:pt idx="2">
                  <c:v>1055003.7561419997</c:v>
                </c:pt>
                <c:pt idx="3">
                  <c:v>564346.55477399996</c:v>
                </c:pt>
                <c:pt idx="4">
                  <c:v>618207.06373649999</c:v>
                </c:pt>
                <c:pt idx="5">
                  <c:v>488938.77248999994</c:v>
                </c:pt>
                <c:pt idx="6">
                  <c:v>661516.75312799995</c:v>
                </c:pt>
                <c:pt idx="7">
                  <c:v>791062.25011799985</c:v>
                </c:pt>
                <c:pt idx="8">
                  <c:v>1181877.3592289998</c:v>
                </c:pt>
                <c:pt idx="9">
                  <c:v>836908.54145850008</c:v>
                </c:pt>
                <c:pt idx="10">
                  <c:v>681985.6683149999</c:v>
                </c:pt>
                <c:pt idx="11">
                  <c:v>902019.09016799985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322F-4050-A7AB-B9CB9F4C2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90607"/>
        <c:axId val="187725327"/>
      </c:lineChart>
      <c:catAx>
        <c:axId val="30239060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5327"/>
        <c:crossesAt val="1"/>
        <c:auto val="1"/>
        <c:lblAlgn val="ctr"/>
        <c:lblOffset val="100"/>
        <c:noMultiLvlLbl val="0"/>
      </c:catAx>
      <c:valAx>
        <c:axId val="18772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90607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solidFill>
          <a:schemeClr val="accent2">
            <a:lumMod val="20000"/>
            <a:lumOff val="80000"/>
          </a:schemeClr>
        </a:solidFill>
        <a:ln>
          <a:solidFill>
            <a:schemeClr val="accent6">
              <a:lumMod val="40000"/>
              <a:lumOff val="6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2317220559751316"/>
          <c:y val="8.6185046909447866E-2"/>
          <c:w val="0.27450077695364072"/>
          <c:h val="0.89049677124116544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CC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firstButton="1" lockText="1" noThreeD="1"/>
</file>

<file path=xl/ctrlProps/ctrlProp4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81006</xdr:colOff>
      <xdr:row>5</xdr:row>
      <xdr:rowOff>118926</xdr:rowOff>
    </xdr:from>
    <xdr:to>
      <xdr:col>12</xdr:col>
      <xdr:colOff>361950</xdr:colOff>
      <xdr:row>23</xdr:row>
      <xdr:rowOff>36549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352424</xdr:colOff>
      <xdr:row>5</xdr:row>
      <xdr:rowOff>118929</xdr:rowOff>
    </xdr:from>
    <xdr:to>
      <xdr:col>26</xdr:col>
      <xdr:colOff>612564</xdr:colOff>
      <xdr:row>23</xdr:row>
      <xdr:rowOff>34647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262757</xdr:colOff>
      <xdr:row>33</xdr:row>
      <xdr:rowOff>71545</xdr:rowOff>
    </xdr:from>
    <xdr:ext cx="394334" cy="452756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2539" y="6029000"/>
          <a:ext cx="394334" cy="452756"/>
        </a:xfrm>
        <a:prstGeom prst="rect">
          <a:avLst/>
        </a:prstGeom>
      </xdr:spPr>
    </xdr:pic>
    <xdr:clientData/>
  </xdr:oneCellAnchor>
  <xdr:twoCellAnchor editAs="oneCell">
    <xdr:from>
      <xdr:col>0</xdr:col>
      <xdr:colOff>29211</xdr:colOff>
      <xdr:row>0</xdr:row>
      <xdr:rowOff>34675</xdr:rowOff>
    </xdr:from>
    <xdr:to>
      <xdr:col>2</xdr:col>
      <xdr:colOff>641257</xdr:colOff>
      <xdr:row>2</xdr:row>
      <xdr:rowOff>83993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1" y="34675"/>
          <a:ext cx="1021159" cy="392507"/>
        </a:xfrm>
        <a:prstGeom prst="rect">
          <a:avLst/>
        </a:prstGeom>
      </xdr:spPr>
    </xdr:pic>
    <xdr:clientData/>
  </xdr:twoCellAnchor>
  <xdr:twoCellAnchor editAs="oneCell">
    <xdr:from>
      <xdr:col>27</xdr:col>
      <xdr:colOff>47202</xdr:colOff>
      <xdr:row>0</xdr:row>
      <xdr:rowOff>45721</xdr:rowOff>
    </xdr:from>
    <xdr:to>
      <xdr:col>29</xdr:col>
      <xdr:colOff>645584</xdr:colOff>
      <xdr:row>2</xdr:row>
      <xdr:rowOff>87203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9535" y="45721"/>
          <a:ext cx="1000548" cy="3769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1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1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1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1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1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197" name="Option 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1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29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198" name="Option 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1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1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01" name="Option 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1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03" name="Option 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1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04" name="Option 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1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1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07" name="Option 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1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11" name="Option 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1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12" name="Option 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1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44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14" name="Option 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1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15" name="Option Button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1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17" name="Option Button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1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49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18" name="Option Button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1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20" name="Option 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1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21" name="Option 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1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27" name="Option Button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1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59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28" name="Option Button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1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31" name="Option 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1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32" name="Option Button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1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64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34" name="Option Button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1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66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35" name="Option Button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1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118</xdr:row>
          <xdr:rowOff>31750</xdr:rowOff>
        </xdr:from>
        <xdr:to>
          <xdr:col>10</xdr:col>
          <xdr:colOff>127000</xdr:colOff>
          <xdr:row>119</xdr:row>
          <xdr:rowOff>88900</xdr:rowOff>
        </xdr:to>
        <xdr:sp macro="" textlink="">
          <xdr:nvSpPr>
            <xdr:cNvPr id="7237" name="Option Button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1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69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177800</xdr:colOff>
          <xdr:row>118</xdr:row>
          <xdr:rowOff>31750</xdr:rowOff>
        </xdr:from>
        <xdr:to>
          <xdr:col>10</xdr:col>
          <xdr:colOff>266700</xdr:colOff>
          <xdr:row>119</xdr:row>
          <xdr:rowOff>69850</xdr:rowOff>
        </xdr:to>
        <xdr:sp macro="" textlink="">
          <xdr:nvSpPr>
            <xdr:cNvPr id="7238" name="Option Button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1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123</xdr:row>
          <xdr:rowOff>177800</xdr:rowOff>
        </xdr:from>
        <xdr:to>
          <xdr:col>11</xdr:col>
          <xdr:colOff>825500</xdr:colOff>
          <xdr:row>125</xdr:row>
          <xdr:rowOff>25400</xdr:rowOff>
        </xdr:to>
        <xdr:sp macro="" textlink="">
          <xdr:nvSpPr>
            <xdr:cNvPr id="7246" name="Option Button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1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123</xdr:row>
          <xdr:rowOff>165100</xdr:rowOff>
        </xdr:from>
        <xdr:to>
          <xdr:col>10</xdr:col>
          <xdr:colOff>254000</xdr:colOff>
          <xdr:row>125</xdr:row>
          <xdr:rowOff>12700</xdr:rowOff>
        </xdr:to>
        <xdr:sp macro="" textlink="">
          <xdr:nvSpPr>
            <xdr:cNvPr id="7247" name="Option Button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1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79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123</xdr:row>
          <xdr:rowOff>177800</xdr:rowOff>
        </xdr:from>
        <xdr:to>
          <xdr:col>11</xdr:col>
          <xdr:colOff>825500</xdr:colOff>
          <xdr:row>125</xdr:row>
          <xdr:rowOff>25400</xdr:rowOff>
        </xdr:to>
        <xdr:sp macro="" textlink="">
          <xdr:nvSpPr>
            <xdr:cNvPr id="7249" name="Option Button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1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81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123</xdr:row>
          <xdr:rowOff>165100</xdr:rowOff>
        </xdr:from>
        <xdr:to>
          <xdr:col>10</xdr:col>
          <xdr:colOff>254000</xdr:colOff>
          <xdr:row>125</xdr:row>
          <xdr:rowOff>12700</xdr:rowOff>
        </xdr:to>
        <xdr:sp macro="" textlink="">
          <xdr:nvSpPr>
            <xdr:cNvPr id="7250" name="Option Button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1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31750</xdr:rowOff>
        </xdr:from>
        <xdr:to>
          <xdr:col>6</xdr:col>
          <xdr:colOff>184150</xdr:colOff>
          <xdr:row>23</xdr:row>
          <xdr:rowOff>69850</xdr:rowOff>
        </xdr:to>
        <xdr:sp macro="" textlink="">
          <xdr:nvSpPr>
            <xdr:cNvPr id="7252" name="Option Button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1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63500</xdr:colOff>
          <xdr:row>22</xdr:row>
          <xdr:rowOff>25400</xdr:rowOff>
        </xdr:from>
        <xdr:to>
          <xdr:col>5</xdr:col>
          <xdr:colOff>31750</xdr:colOff>
          <xdr:row>23</xdr:row>
          <xdr:rowOff>63500</xdr:rowOff>
        </xdr:to>
        <xdr:sp macro="" textlink="">
          <xdr:nvSpPr>
            <xdr:cNvPr id="7253" name="Option Button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1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123</xdr:row>
          <xdr:rowOff>177800</xdr:rowOff>
        </xdr:from>
        <xdr:to>
          <xdr:col>11</xdr:col>
          <xdr:colOff>825500</xdr:colOff>
          <xdr:row>125</xdr:row>
          <xdr:rowOff>25400</xdr:rowOff>
        </xdr:to>
        <xdr:sp macro="" textlink="">
          <xdr:nvSpPr>
            <xdr:cNvPr id="7254" name="Option Button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1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86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123</xdr:row>
          <xdr:rowOff>165100</xdr:rowOff>
        </xdr:from>
        <xdr:to>
          <xdr:col>10</xdr:col>
          <xdr:colOff>254000</xdr:colOff>
          <xdr:row>125</xdr:row>
          <xdr:rowOff>12700</xdr:rowOff>
        </xdr:to>
        <xdr:sp macro="" textlink="">
          <xdr:nvSpPr>
            <xdr:cNvPr id="7255" name="Option 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1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87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550334</xdr:colOff>
      <xdr:row>0</xdr:row>
      <xdr:rowOff>84667</xdr:rowOff>
    </xdr:from>
    <xdr:to>
      <xdr:col>12</xdr:col>
      <xdr:colOff>523085</xdr:colOff>
      <xdr:row>2</xdr:row>
      <xdr:rowOff>35694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2534" y="84667"/>
          <a:ext cx="872758" cy="340494"/>
        </a:xfrm>
        <a:prstGeom prst="rect">
          <a:avLst/>
        </a:prstGeom>
      </xdr:spPr>
    </xdr:pic>
    <xdr:clientData/>
  </xdr:twoCellAnchor>
  <xdr:twoCellAnchor editAs="oneCell">
    <xdr:from>
      <xdr:col>11</xdr:col>
      <xdr:colOff>507999</xdr:colOff>
      <xdr:row>29</xdr:row>
      <xdr:rowOff>160866</xdr:rowOff>
    </xdr:from>
    <xdr:to>
      <xdr:col>12</xdr:col>
      <xdr:colOff>484560</xdr:colOff>
      <xdr:row>31</xdr:row>
      <xdr:rowOff>115704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199" y="6671733"/>
          <a:ext cx="868948" cy="3443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120</xdr:row>
          <xdr:rowOff>165100</xdr:rowOff>
        </xdr:from>
        <xdr:to>
          <xdr:col>6</xdr:col>
          <xdr:colOff>717550</xdr:colOff>
          <xdr:row>122</xdr:row>
          <xdr:rowOff>38100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120</xdr:row>
          <xdr:rowOff>152400</xdr:rowOff>
        </xdr:from>
        <xdr:to>
          <xdr:col>5</xdr:col>
          <xdr:colOff>711200</xdr:colOff>
          <xdr:row>122</xdr:row>
          <xdr:rowOff>31750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06C039-2333-4E5A-B993-931A08ACC0A4}" name="Table1" displayName="Table1" ref="I2:M15" totalsRowShown="0" headerRowDxfId="8" headerRowBorderDxfId="7" tableBorderDxfId="6" totalsRowBorderDxfId="5">
  <autoFilter ref="I2:M15" xr:uid="{7E06C039-2333-4E5A-B993-931A08ACC0A4}"/>
  <tableColumns count="5">
    <tableColumn id="1" xr3:uid="{4658F98E-41A5-43B8-A4D0-212B0CB77120}" name="Energy Type" dataDxfId="4"/>
    <tableColumn id="2" xr3:uid="{C756F5CF-CB9B-4D9A-9272-A5F4C8687D22}" name="Input Units" dataDxfId="3"/>
    <tableColumn id="3" xr3:uid="{F48BE652-FC6C-459C-9D83-8FCAD8F153BE}" name="Conversion to kBtu" dataDxfId="2"/>
    <tableColumn id="4" xr3:uid="{2C52B6BA-C81A-4672-8916-2195933E1148}" name="Conversion to Source Energy" dataDxfId="1"/>
    <tableColumn id="5" xr3:uid="{4B6B241D-E727-4176-BAE5-E51A6B51948C}" name="Multiply By: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C498B-8898-4C2F-864B-6FEADEEB4DAA}">
  <sheetPr codeName="Sheet1">
    <pageSetUpPr fitToPage="1"/>
  </sheetPr>
  <dimension ref="A1:BH37"/>
  <sheetViews>
    <sheetView showGridLines="0" zoomScale="90" zoomScaleNormal="90" workbookViewId="0">
      <selection activeCell="O43" sqref="O43"/>
    </sheetView>
  </sheetViews>
  <sheetFormatPr defaultColWidth="9.1796875" defaultRowHeight="13"/>
  <cols>
    <col min="1" max="1" width="5.1796875" style="1" customWidth="1"/>
    <col min="2" max="2" width="0.453125" style="1" customWidth="1"/>
    <col min="3" max="3" width="9.453125" style="1" customWidth="1"/>
    <col min="4" max="4" width="0.453125" style="1" customWidth="1"/>
    <col min="5" max="5" width="8.453125" style="1" customWidth="1"/>
    <col min="6" max="6" width="0.453125" style="1" customWidth="1"/>
    <col min="7" max="7" width="9.453125" style="1" customWidth="1"/>
    <col min="8" max="8" width="0.453125" style="1" customWidth="1"/>
    <col min="9" max="9" width="8.81640625" style="1" customWidth="1"/>
    <col min="10" max="10" width="0.453125" style="1" customWidth="1"/>
    <col min="11" max="11" width="9.26953125" style="1" bestFit="1" customWidth="1"/>
    <col min="12" max="12" width="3.26953125" style="1" bestFit="1" customWidth="1"/>
    <col min="13" max="13" width="11.26953125" style="1" bestFit="1" customWidth="1"/>
    <col min="14" max="14" width="0.81640625" style="1" customWidth="1"/>
    <col min="15" max="15" width="8.1796875" style="1" customWidth="1"/>
    <col min="16" max="16" width="0.453125" style="1" customWidth="1"/>
    <col min="17" max="17" width="9.1796875" style="1" customWidth="1"/>
    <col min="18" max="18" width="0.453125" style="1" customWidth="1"/>
    <col min="19" max="19" width="9.26953125" style="1" bestFit="1" customWidth="1"/>
    <col min="20" max="20" width="0.453125" style="1" customWidth="1"/>
    <col min="21" max="21" width="9.453125" style="1" customWidth="1"/>
    <col min="22" max="22" width="0.453125" style="1" customWidth="1"/>
    <col min="23" max="23" width="10.7265625" style="1" bestFit="1" customWidth="1"/>
    <col min="24" max="24" width="0.453125" style="1" customWidth="1"/>
    <col min="25" max="25" width="9.1796875" style="1" customWidth="1"/>
    <col min="26" max="26" width="0.453125" style="1" customWidth="1"/>
    <col min="27" max="27" width="10.81640625" style="1" customWidth="1"/>
    <col min="28" max="28" width="5.36328125" style="1" customWidth="1"/>
    <col min="29" max="29" width="0.453125" style="1" customWidth="1"/>
    <col min="30" max="30" width="19.1796875" style="1" customWidth="1"/>
    <col min="31" max="31" width="0.453125" style="1" customWidth="1"/>
    <col min="32" max="32" width="8.54296875" style="1" bestFit="1" customWidth="1"/>
    <col min="33" max="33" width="0.453125" style="1" customWidth="1"/>
    <col min="34" max="34" width="9.26953125" style="1" bestFit="1" customWidth="1"/>
    <col min="35" max="35" width="0.453125" style="1" customWidth="1"/>
    <col min="36" max="36" width="9.36328125" style="1" bestFit="1" customWidth="1"/>
    <col min="37" max="37" width="0.54296875" style="1" customWidth="1"/>
    <col min="38" max="38" width="8.26953125" style="1" bestFit="1" customWidth="1"/>
    <col min="39" max="39" width="0.453125" style="1" customWidth="1"/>
    <col min="40" max="40" width="12.26953125" style="1" bestFit="1" customWidth="1"/>
    <col min="41" max="41" width="0.453125" style="1" customWidth="1"/>
    <col min="42" max="42" width="11" style="1" bestFit="1" customWidth="1"/>
    <col min="43" max="43" width="1" style="1" customWidth="1"/>
    <col min="44" max="44" width="9.6328125" style="1" bestFit="1" customWidth="1"/>
    <col min="45" max="45" width="0.1796875" style="1" customWidth="1"/>
    <col min="46" max="46" width="10.6328125" style="1" bestFit="1" customWidth="1"/>
    <col min="47" max="47" width="0.453125" style="1" customWidth="1"/>
    <col min="48" max="48" width="9.26953125" style="1" bestFit="1" customWidth="1"/>
    <col min="49" max="49" width="0.453125" style="1" customWidth="1"/>
    <col min="50" max="50" width="10.90625" style="1" bestFit="1" customWidth="1"/>
    <col min="51" max="51" width="0.453125" style="1" customWidth="1"/>
    <col min="52" max="52" width="9.26953125" style="1" bestFit="1" customWidth="1"/>
    <col min="53" max="53" width="0.453125" style="1" customWidth="1"/>
    <col min="54" max="54" width="9.54296875" style="1" bestFit="1" customWidth="1"/>
    <col min="55" max="55" width="0.453125" style="1" customWidth="1"/>
    <col min="56" max="56" width="5" style="1" customWidth="1"/>
    <col min="57" max="57" width="0.453125" style="1" customWidth="1"/>
    <col min="58" max="58" width="6.08984375" style="1" customWidth="1"/>
    <col min="59" max="59" width="0.453125" style="1" customWidth="1"/>
    <col min="60" max="60" width="9.08984375" style="1" bestFit="1" customWidth="1"/>
    <col min="61" max="16384" width="9.1796875" style="1"/>
  </cols>
  <sheetData>
    <row r="1" spans="1:60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4">
      <c r="A2" s="2"/>
      <c r="B2" s="2"/>
      <c r="C2" s="2"/>
      <c r="D2" s="2"/>
      <c r="E2" s="334" t="str">
        <f>"Energy Report: "&amp; Form!D3</f>
        <v>Energy Report: Abernathy ISD</v>
      </c>
      <c r="F2" s="334"/>
      <c r="G2" s="334"/>
      <c r="H2" s="334"/>
      <c r="I2" s="334"/>
      <c r="J2" s="334"/>
      <c r="K2" s="334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F2" s="336" t="str">
        <f>E2</f>
        <v>Energy Report: Abernathy ISD</v>
      </c>
      <c r="AG2" s="337"/>
      <c r="AH2" s="337"/>
      <c r="AI2" s="337"/>
      <c r="AJ2" s="337"/>
      <c r="AK2" s="337"/>
      <c r="AL2" s="337"/>
      <c r="AM2" s="337"/>
      <c r="AN2" s="338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</row>
    <row r="3" spans="1:60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</row>
    <row r="4" spans="1:60" ht="15" customHeight="1">
      <c r="A4" s="2"/>
      <c r="B4" s="272"/>
      <c r="C4" s="13">
        <f>Calculation!B3</f>
        <v>0</v>
      </c>
      <c r="D4" s="2"/>
      <c r="E4" s="2"/>
      <c r="F4" s="2"/>
      <c r="G4" s="2" t="s">
        <v>16</v>
      </c>
      <c r="H4" s="2"/>
      <c r="I4" s="2"/>
      <c r="J4" s="2"/>
      <c r="K4" s="2" t="s">
        <v>15</v>
      </c>
      <c r="L4" s="2"/>
      <c r="M4" s="2"/>
      <c r="N4" s="2"/>
      <c r="O4" s="2" t="s">
        <v>14</v>
      </c>
      <c r="P4" s="2"/>
      <c r="Q4" s="2">
        <f>Form!L12</f>
        <v>140000</v>
      </c>
      <c r="R4" s="2"/>
      <c r="S4" s="2"/>
      <c r="T4" s="2"/>
      <c r="U4" s="2" t="s">
        <v>13</v>
      </c>
      <c r="V4" s="2"/>
      <c r="W4" s="2"/>
      <c r="X4" s="2"/>
      <c r="Y4" s="2">
        <v>409</v>
      </c>
      <c r="Z4" s="2"/>
      <c r="AA4" s="2"/>
      <c r="AB4" s="328">
        <f>C4</f>
        <v>0</v>
      </c>
      <c r="AC4" s="272"/>
      <c r="AD4" s="2"/>
      <c r="AE4" s="2"/>
      <c r="AF4" s="2"/>
      <c r="AG4" s="2"/>
      <c r="AH4" s="324" t="s">
        <v>16</v>
      </c>
      <c r="AI4" s="2"/>
      <c r="AJ4" s="2">
        <f>I4</f>
        <v>0</v>
      </c>
      <c r="AK4" s="2"/>
      <c r="AL4" s="2"/>
      <c r="AM4" s="2"/>
      <c r="AN4" s="324" t="s">
        <v>15</v>
      </c>
      <c r="AO4" s="2"/>
      <c r="AP4" s="2">
        <f>M4</f>
        <v>0</v>
      </c>
      <c r="AQ4" s="2"/>
      <c r="AR4" s="2"/>
      <c r="AS4" s="2"/>
      <c r="AT4" s="2"/>
      <c r="AU4" s="2"/>
      <c r="AV4" s="324" t="s">
        <v>14</v>
      </c>
      <c r="AW4" s="2"/>
      <c r="AX4" s="2">
        <f>Q4</f>
        <v>140000</v>
      </c>
      <c r="AY4" s="2"/>
      <c r="AZ4" s="335" t="s">
        <v>13</v>
      </c>
      <c r="BA4" s="335"/>
      <c r="BB4" s="335"/>
      <c r="BC4" s="335"/>
      <c r="BD4" s="335"/>
      <c r="BE4" s="2"/>
      <c r="BF4" s="2">
        <f>Y4</f>
        <v>409</v>
      </c>
      <c r="BG4" s="2"/>
      <c r="BH4" s="2"/>
    </row>
    <row r="5" spans="1:60" ht="15">
      <c r="A5" s="2"/>
      <c r="B5" s="2"/>
      <c r="C5" s="2"/>
      <c r="D5" s="2"/>
      <c r="E5" s="2"/>
      <c r="F5" s="2"/>
      <c r="G5" s="2"/>
      <c r="H5" s="2"/>
      <c r="I5" s="273" t="s">
        <v>67</v>
      </c>
      <c r="J5" s="273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345" t="s">
        <v>66</v>
      </c>
      <c r="AC6" s="345"/>
      <c r="AD6" s="345"/>
      <c r="AE6" s="345"/>
      <c r="AF6" s="345"/>
      <c r="AG6" s="345"/>
      <c r="AH6" s="345"/>
      <c r="AI6" s="345"/>
      <c r="AJ6" s="345"/>
      <c r="AK6" s="345"/>
      <c r="AL6" s="345"/>
      <c r="AM6" s="345"/>
      <c r="AN6" s="345"/>
      <c r="AO6" s="345"/>
      <c r="AP6" s="345"/>
      <c r="AQ6" s="2"/>
      <c r="AR6" s="2"/>
      <c r="AS6" s="2"/>
      <c r="AT6" s="345" t="s">
        <v>65</v>
      </c>
      <c r="AU6" s="345"/>
      <c r="AV6" s="345"/>
      <c r="AW6" s="345"/>
      <c r="AX6" s="345"/>
      <c r="AY6" s="345"/>
      <c r="AZ6" s="345"/>
      <c r="BA6" s="345"/>
      <c r="BB6" s="345"/>
      <c r="BC6" s="345"/>
      <c r="BD6" s="345"/>
      <c r="BE6" s="345"/>
      <c r="BF6" s="345"/>
      <c r="BG6" s="345"/>
      <c r="BH6" s="345"/>
    </row>
    <row r="7" spans="1:60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13"/>
      <c r="AC7" s="13"/>
      <c r="AD7" s="346" t="s">
        <v>12</v>
      </c>
      <c r="AE7" s="346"/>
      <c r="AF7" s="346"/>
      <c r="AG7" s="346"/>
      <c r="AH7" s="346"/>
      <c r="AI7" s="346"/>
      <c r="AJ7" s="346"/>
      <c r="AK7" s="258"/>
      <c r="AL7" s="258"/>
      <c r="AM7" s="258"/>
      <c r="AN7" s="347" t="s">
        <v>11</v>
      </c>
      <c r="AO7" s="347"/>
      <c r="AP7" s="347"/>
      <c r="AQ7" s="8"/>
      <c r="AR7" s="2"/>
      <c r="AS7" s="2"/>
      <c r="AT7" s="13"/>
      <c r="AU7" s="13"/>
      <c r="AV7" s="346" t="s">
        <v>12</v>
      </c>
      <c r="AW7" s="346"/>
      <c r="AX7" s="346"/>
      <c r="AY7" s="346"/>
      <c r="AZ7" s="346"/>
      <c r="BA7" s="346"/>
      <c r="BB7" s="346"/>
      <c r="BC7" s="258"/>
      <c r="BD7" s="258"/>
      <c r="BE7" s="258"/>
      <c r="BF7" s="347" t="s">
        <v>11</v>
      </c>
      <c r="BG7" s="347"/>
      <c r="BH7" s="347"/>
    </row>
    <row r="8" spans="1:60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13"/>
      <c r="AC8" s="13"/>
      <c r="AD8" s="13" t="s">
        <v>10</v>
      </c>
      <c r="AE8" s="13"/>
      <c r="AF8" s="13" t="s">
        <v>9</v>
      </c>
      <c r="AG8" s="13"/>
      <c r="AH8" s="13" t="s">
        <v>8</v>
      </c>
      <c r="AI8" s="13"/>
      <c r="AJ8" s="13" t="s">
        <v>7</v>
      </c>
      <c r="AK8" s="13"/>
      <c r="AL8" s="13"/>
      <c r="AM8" s="13"/>
      <c r="AN8" s="13" t="s">
        <v>6</v>
      </c>
      <c r="AO8" s="13"/>
      <c r="AP8" s="13" t="s">
        <v>5</v>
      </c>
      <c r="AQ8" s="8"/>
      <c r="AR8" s="2"/>
      <c r="AS8" s="2"/>
      <c r="AT8" s="13"/>
      <c r="AU8" s="13"/>
      <c r="AV8" s="13" t="s">
        <v>10</v>
      </c>
      <c r="AW8" s="13"/>
      <c r="AX8" s="13" t="s">
        <v>9</v>
      </c>
      <c r="AY8" s="13"/>
      <c r="AZ8" s="13" t="s">
        <v>8</v>
      </c>
      <c r="BA8" s="13"/>
      <c r="BB8" s="13" t="s">
        <v>7</v>
      </c>
      <c r="BC8" s="13"/>
      <c r="BD8" s="13"/>
      <c r="BE8" s="13"/>
      <c r="BF8" s="13" t="s">
        <v>6</v>
      </c>
      <c r="BG8" s="13"/>
      <c r="BH8" s="13" t="s">
        <v>5</v>
      </c>
    </row>
    <row r="9" spans="1:60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323" t="s">
        <v>4</v>
      </c>
      <c r="AC9" s="8"/>
      <c r="AD9" s="332">
        <f>C31</f>
        <v>1390081.43479905</v>
      </c>
      <c r="AE9" s="8"/>
      <c r="AF9" s="282">
        <f>E31</f>
        <v>3243523.34786445</v>
      </c>
      <c r="AG9" s="8"/>
      <c r="AH9" s="282">
        <f>G31</f>
        <v>3287689.3665059842</v>
      </c>
      <c r="AI9" s="8"/>
      <c r="AJ9" s="282">
        <f>I31</f>
        <v>1345915.4161575157</v>
      </c>
      <c r="AK9" s="8"/>
      <c r="AL9" s="323" t="s">
        <v>4</v>
      </c>
      <c r="AM9" s="8"/>
      <c r="AN9" s="286">
        <f>0.42*K31</f>
        <v>203022.18719999999</v>
      </c>
      <c r="AO9" s="8"/>
      <c r="AP9" s="286">
        <f>K31-AN9</f>
        <v>280363.97279999999</v>
      </c>
      <c r="AQ9" s="8"/>
      <c r="AR9" s="2"/>
      <c r="AS9" s="2"/>
      <c r="AT9" s="323" t="s">
        <v>4</v>
      </c>
      <c r="AU9" s="8"/>
      <c r="AV9" s="285">
        <f>Q31</f>
        <v>1139866.7765352211</v>
      </c>
      <c r="AW9" s="8"/>
      <c r="AX9" s="285">
        <f>S31</f>
        <v>1297409.3391457801</v>
      </c>
      <c r="AY9" s="8"/>
      <c r="AZ9" s="285">
        <f>U31</f>
        <v>3123304.898180685</v>
      </c>
      <c r="BA9" s="8"/>
      <c r="BB9" s="285">
        <f>W31</f>
        <v>1332456.26199594</v>
      </c>
      <c r="BC9" s="8"/>
      <c r="BD9" s="323" t="s">
        <v>4</v>
      </c>
      <c r="BE9" s="8"/>
      <c r="BF9" s="286">
        <f>Y31*0.52</f>
        <v>232508.74296</v>
      </c>
      <c r="BG9" s="8"/>
      <c r="BH9" s="285">
        <f>Y31-BF9</f>
        <v>214623.45503999997</v>
      </c>
    </row>
    <row r="10" spans="1:6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323" t="s">
        <v>3</v>
      </c>
      <c r="AC10" s="8"/>
      <c r="AD10" s="332">
        <f>C34</f>
        <v>407409.56471250003</v>
      </c>
      <c r="AE10" s="14"/>
      <c r="AF10" s="282">
        <f>E34</f>
        <v>950622.31766249996</v>
      </c>
      <c r="AG10" s="14"/>
      <c r="AH10" s="282">
        <f>G34</f>
        <v>963566.63731124974</v>
      </c>
      <c r="AI10" s="14"/>
      <c r="AJ10" s="282">
        <f>I34</f>
        <v>394465.24506375025</v>
      </c>
      <c r="AK10" s="14"/>
      <c r="AL10" s="323" t="s">
        <v>2</v>
      </c>
      <c r="AM10" s="8"/>
      <c r="AN10" s="282">
        <f>AN9/1000</f>
        <v>203.02218719999999</v>
      </c>
      <c r="AO10" s="14"/>
      <c r="AP10" s="282">
        <f>AP9/1000</f>
        <v>280.3639728</v>
      </c>
      <c r="AQ10" s="8"/>
      <c r="AR10" s="2"/>
      <c r="AS10" s="2"/>
      <c r="AT10" s="323" t="s">
        <v>3</v>
      </c>
      <c r="AU10" s="8"/>
      <c r="AV10" s="282">
        <f>Q34</f>
        <v>334075.84306425008</v>
      </c>
      <c r="AW10" s="14"/>
      <c r="AX10" s="282">
        <f>S34</f>
        <v>380248.92706500005</v>
      </c>
      <c r="AY10" s="14"/>
      <c r="AZ10" s="282">
        <f>U34</f>
        <v>915388.30544568726</v>
      </c>
      <c r="BA10" s="14"/>
      <c r="BB10" s="282">
        <f>W34</f>
        <v>390520.59261311253</v>
      </c>
      <c r="BC10" s="14"/>
      <c r="BD10" s="323" t="s">
        <v>2</v>
      </c>
      <c r="BE10" s="8"/>
      <c r="BF10" s="282">
        <f>BF9/1000</f>
        <v>232.50874296000001</v>
      </c>
      <c r="BG10" s="14"/>
      <c r="BH10" s="282">
        <f>BH9/1000</f>
        <v>214.62345503999998</v>
      </c>
    </row>
    <row r="11" spans="1:60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323" t="s">
        <v>1</v>
      </c>
      <c r="AC11" s="8"/>
      <c r="AD11" s="333">
        <f>C33</f>
        <v>41342.190383592351</v>
      </c>
      <c r="AE11" s="271"/>
      <c r="AF11" s="304">
        <f>E33</f>
        <v>96465.110895048798</v>
      </c>
      <c r="AG11" s="255"/>
      <c r="AH11" s="304">
        <f>G33</f>
        <v>97778.645415727835</v>
      </c>
      <c r="AI11" s="255"/>
      <c r="AJ11" s="304">
        <f>I33</f>
        <v>40028.655862913314</v>
      </c>
      <c r="AK11" s="255"/>
      <c r="AL11" s="323" t="s">
        <v>1</v>
      </c>
      <c r="AM11" s="8"/>
      <c r="AN11" s="291">
        <f>AV2*AN10</f>
        <v>0</v>
      </c>
      <c r="AO11" s="271"/>
      <c r="AP11" s="291">
        <f>AV2*AP10</f>
        <v>0</v>
      </c>
      <c r="AQ11" s="8"/>
      <c r="AR11" s="2"/>
      <c r="AS11" s="2"/>
      <c r="AT11" s="323" t="s">
        <v>1</v>
      </c>
      <c r="AU11" s="8"/>
      <c r="AV11" s="291">
        <f>Q33</f>
        <v>33900.596114545733</v>
      </c>
      <c r="AW11" s="271"/>
      <c r="AX11" s="291">
        <f>S33</f>
        <v>38586.044358019528</v>
      </c>
      <c r="AY11" s="255"/>
      <c r="AZ11" s="291">
        <f>U33</f>
        <v>92889.713144941445</v>
      </c>
      <c r="BA11" s="255"/>
      <c r="BB11" s="291">
        <f>W33</f>
        <v>39628.369304284155</v>
      </c>
      <c r="BC11" s="255"/>
      <c r="BD11" s="323" t="s">
        <v>1</v>
      </c>
      <c r="BE11" s="8"/>
      <c r="BF11" s="291">
        <f>BI2*BF10</f>
        <v>0</v>
      </c>
      <c r="BG11" s="271"/>
      <c r="BH11" s="291">
        <f>BI2*BH10</f>
        <v>0</v>
      </c>
    </row>
    <row r="12" spans="1:60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323" t="s">
        <v>0</v>
      </c>
      <c r="AC12" s="8"/>
      <c r="AD12" s="332">
        <f>AD10/2849</f>
        <v>143.00090021498772</v>
      </c>
      <c r="AE12" s="8"/>
      <c r="AF12" s="282">
        <f>AF10/2849</f>
        <v>333.66876716830467</v>
      </c>
      <c r="AG12" s="8"/>
      <c r="AH12" s="282">
        <f>AH10/2849</f>
        <v>338.21222790847656</v>
      </c>
      <c r="AI12" s="8"/>
      <c r="AJ12" s="286"/>
      <c r="AK12" s="8"/>
      <c r="AL12" s="8"/>
      <c r="AM12" s="8"/>
      <c r="AN12" s="8"/>
      <c r="AO12" s="8"/>
      <c r="AP12" s="8"/>
      <c r="AQ12" s="8"/>
      <c r="AR12" s="2"/>
      <c r="AS12" s="2"/>
      <c r="AT12" s="323" t="s">
        <v>0</v>
      </c>
      <c r="AU12" s="8"/>
      <c r="AV12" s="286"/>
      <c r="AW12" s="8"/>
      <c r="AX12" s="286"/>
      <c r="AY12" s="8"/>
      <c r="AZ12" s="286"/>
      <c r="BA12" s="8"/>
      <c r="BB12" s="286"/>
      <c r="BC12" s="8"/>
      <c r="BD12" s="8"/>
      <c r="BE12" s="8"/>
      <c r="BF12" s="8"/>
      <c r="BG12" s="8"/>
      <c r="BH12" s="8"/>
    </row>
    <row r="13" spans="1:60" ht="9.75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</row>
    <row r="14" spans="1:60" ht="9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</row>
    <row r="15" spans="1:60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2"/>
    </row>
    <row r="16" spans="1:60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2"/>
    </row>
    <row r="17" spans="1:60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2"/>
    </row>
    <row r="18" spans="1:60" ht="17.399999999999999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343" t="s">
        <v>64</v>
      </c>
      <c r="AC18" s="343"/>
      <c r="AD18" s="343"/>
      <c r="AE18" s="269"/>
      <c r="AF18" s="305">
        <f>AH10</f>
        <v>963566.63731124974</v>
      </c>
      <c r="AG18" s="270"/>
      <c r="AH18" s="343" t="s">
        <v>63</v>
      </c>
      <c r="AI18" s="343"/>
      <c r="AJ18" s="343"/>
      <c r="AK18" s="269"/>
      <c r="AL18" s="305">
        <f>AJ10+AF10+AD10</f>
        <v>1752497.1274387501</v>
      </c>
      <c r="AM18" s="270"/>
      <c r="AN18" s="327" t="s">
        <v>62</v>
      </c>
      <c r="AO18" s="266"/>
      <c r="AP18" s="305">
        <f>AN9+AP9</f>
        <v>483386.16</v>
      </c>
      <c r="AQ18" s="8"/>
      <c r="AR18" s="8"/>
      <c r="AS18" s="8"/>
      <c r="AT18" s="344" t="s">
        <v>61</v>
      </c>
      <c r="AU18" s="344"/>
      <c r="AV18" s="344"/>
      <c r="AW18" s="344"/>
      <c r="AX18" s="344"/>
      <c r="AY18" s="344"/>
      <c r="AZ18" s="344"/>
      <c r="BA18" s="344"/>
      <c r="BB18" s="344"/>
      <c r="BC18" s="9"/>
      <c r="BD18" s="8"/>
      <c r="BE18" s="8"/>
      <c r="BF18" s="8"/>
      <c r="BG18" s="8"/>
      <c r="BH18" s="2"/>
    </row>
    <row r="19" spans="1:60" ht="21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343" t="s">
        <v>60</v>
      </c>
      <c r="AC19" s="343"/>
      <c r="AD19" s="343"/>
      <c r="AE19" s="9"/>
      <c r="AF19" s="306">
        <f>AH11</f>
        <v>97778.645415727835</v>
      </c>
      <c r="AG19" s="268"/>
      <c r="AH19" s="343" t="s">
        <v>59</v>
      </c>
      <c r="AI19" s="343"/>
      <c r="AJ19" s="343"/>
      <c r="AK19" s="269"/>
      <c r="AL19" s="308">
        <f>AD11+AF11+AJ11</f>
        <v>177835.95714155448</v>
      </c>
      <c r="AM19" s="267"/>
      <c r="AN19" s="327" t="s">
        <v>58</v>
      </c>
      <c r="AO19" s="266"/>
      <c r="AP19" s="309">
        <f>AN11+AP11</f>
        <v>0</v>
      </c>
      <c r="AQ19" s="266"/>
      <c r="AR19" s="8"/>
      <c r="AS19" s="8"/>
      <c r="AT19" s="325" t="s">
        <v>57</v>
      </c>
      <c r="AU19" s="325"/>
      <c r="AV19" s="325"/>
      <c r="AW19" s="325"/>
      <c r="AX19" s="325" t="s">
        <v>56</v>
      </c>
      <c r="AY19" s="325"/>
      <c r="AZ19" s="325"/>
      <c r="BA19" s="325"/>
      <c r="BB19" s="325" t="s">
        <v>55</v>
      </c>
      <c r="BC19" s="8"/>
      <c r="BD19" s="8"/>
      <c r="BE19" s="8"/>
      <c r="BF19" s="8"/>
      <c r="BG19" s="8"/>
      <c r="BH19" s="2"/>
    </row>
    <row r="20" spans="1:6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350" t="s">
        <v>54</v>
      </c>
      <c r="AC20" s="350"/>
      <c r="AD20" s="350"/>
      <c r="AE20" s="9"/>
      <c r="AF20" s="307">
        <f>AH12</f>
        <v>338.21222790847656</v>
      </c>
      <c r="AG20" s="8"/>
      <c r="AH20" s="350" t="s">
        <v>53</v>
      </c>
      <c r="AI20" s="350"/>
      <c r="AJ20" s="350"/>
      <c r="AK20" s="9"/>
      <c r="AL20" s="307">
        <f>(AF12+AD12)*0.85</f>
        <v>405.16921727579853</v>
      </c>
      <c r="AM20" s="8"/>
      <c r="AN20" s="8"/>
      <c r="AO20" s="8"/>
      <c r="AP20" s="8"/>
      <c r="AQ20" s="8"/>
      <c r="AR20" s="8"/>
      <c r="AS20" s="8"/>
      <c r="AT20" s="293">
        <f>M33</f>
        <v>301653.44755728228</v>
      </c>
      <c r="AU20" s="8"/>
      <c r="AV20" s="8"/>
      <c r="AW20" s="8"/>
      <c r="AX20" s="293">
        <f>AA33</f>
        <v>229090.65454679084</v>
      </c>
      <c r="AY20" s="8"/>
      <c r="AZ20" s="8"/>
      <c r="BA20" s="8"/>
      <c r="BB20" s="293">
        <f>AT20-AX20</f>
        <v>72562.793010491441</v>
      </c>
      <c r="BC20" s="8"/>
      <c r="BD20" s="8"/>
      <c r="BE20" s="8"/>
      <c r="BF20" s="8"/>
      <c r="BG20" s="8"/>
      <c r="BH20" s="2"/>
    </row>
    <row r="21" spans="1:60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350" t="s">
        <v>52</v>
      </c>
      <c r="AC21" s="350"/>
      <c r="AD21" s="350"/>
      <c r="AE21" s="9"/>
      <c r="AF21" s="16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2"/>
    </row>
    <row r="22" spans="1:60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2"/>
    </row>
    <row r="23" spans="1:60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2"/>
    </row>
    <row r="24" spans="1:60" ht="12" customHeight="1">
      <c r="A24" s="354"/>
      <c r="B24" s="354"/>
      <c r="C24" s="354"/>
      <c r="D24" s="354"/>
      <c r="E24" s="354"/>
      <c r="F24" s="354"/>
      <c r="G24" s="354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2"/>
    </row>
    <row r="25" spans="1:60" ht="21.75" customHeight="1">
      <c r="A25" s="354"/>
      <c r="B25" s="354"/>
      <c r="C25" s="354"/>
      <c r="D25" s="354"/>
      <c r="E25" s="354"/>
      <c r="F25" s="354"/>
      <c r="G25" s="354"/>
      <c r="H25" s="2"/>
      <c r="I25" s="262" t="s">
        <v>51</v>
      </c>
      <c r="J25" s="263"/>
      <c r="K25" s="262" t="s">
        <v>50</v>
      </c>
      <c r="L25" s="264"/>
      <c r="M25" s="262" t="s">
        <v>49</v>
      </c>
      <c r="N25" s="264"/>
      <c r="O25" s="262" t="s">
        <v>48</v>
      </c>
      <c r="P25" s="264"/>
      <c r="Q25" s="262" t="s">
        <v>47</v>
      </c>
      <c r="R25" s="259"/>
      <c r="S25" s="2"/>
      <c r="T25" s="2"/>
      <c r="U25" s="2"/>
      <c r="V25" s="2"/>
      <c r="W25" s="2"/>
      <c r="X25" s="2"/>
      <c r="Y25" s="2"/>
      <c r="Z25" s="2"/>
      <c r="AA25" s="2"/>
      <c r="AB25" s="2"/>
      <c r="AC25" s="8"/>
      <c r="AD25" s="265" t="s">
        <v>46</v>
      </c>
      <c r="AE25" s="8"/>
      <c r="AF25" s="8"/>
      <c r="AG25" s="8"/>
      <c r="AH25" s="2"/>
      <c r="AI25" s="2"/>
      <c r="AJ25" s="2"/>
      <c r="AK25" s="2"/>
      <c r="AL25" s="2"/>
      <c r="AM25" s="2"/>
      <c r="AN25" s="2"/>
      <c r="AO25" s="2"/>
      <c r="AP25" s="2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2"/>
    </row>
    <row r="26" spans="1:60" ht="18" customHeight="1">
      <c r="A26" s="2"/>
      <c r="B26" s="2"/>
      <c r="C26" s="2"/>
      <c r="D26" s="2"/>
      <c r="E26" s="2"/>
      <c r="F26" s="2"/>
      <c r="G26" s="2"/>
      <c r="H26" s="2"/>
      <c r="I26" s="359">
        <f>Y4</f>
        <v>409</v>
      </c>
      <c r="J26" s="2"/>
      <c r="K26" s="361">
        <f>IFERROR(Q4/I26,0)</f>
        <v>342.29828850855745</v>
      </c>
      <c r="L26" s="259"/>
      <c r="M26" s="363">
        <f>(Form!D53/8760)/MAX(Form!E41:E52)</f>
        <v>9.4880957332741767E-2</v>
      </c>
      <c r="N26" s="259"/>
      <c r="O26" s="365"/>
      <c r="P26" s="259"/>
      <c r="Q26" s="365"/>
      <c r="R26" s="259"/>
      <c r="S26" s="2"/>
      <c r="T26" s="2"/>
      <c r="U26" s="2"/>
      <c r="V26" s="2"/>
      <c r="W26" s="2"/>
      <c r="X26" s="2"/>
      <c r="Y26" s="2"/>
      <c r="Z26" s="2"/>
      <c r="AA26" s="2"/>
      <c r="AB26" s="278" t="s">
        <v>106</v>
      </c>
      <c r="AC26" s="274"/>
      <c r="AD26" s="279"/>
      <c r="AE26" s="274"/>
      <c r="AF26" s="274"/>
      <c r="AG26" s="274"/>
      <c r="AH26" s="277"/>
      <c r="AI26" s="277"/>
      <c r="AJ26" s="277"/>
      <c r="AK26" s="277"/>
      <c r="AL26" s="277"/>
      <c r="AM26" s="277"/>
      <c r="AN26" s="277"/>
      <c r="AO26" s="277"/>
      <c r="AP26" s="277"/>
      <c r="AQ26" s="274"/>
      <c r="AR26" s="274"/>
      <c r="AS26" s="274"/>
      <c r="AT26" s="274"/>
      <c r="AU26" s="274"/>
      <c r="AV26" s="274"/>
      <c r="AW26" s="274"/>
      <c r="AX26" s="274"/>
      <c r="AY26" s="274"/>
      <c r="AZ26" s="274"/>
      <c r="BA26" s="274"/>
      <c r="BB26" s="274"/>
      <c r="BC26" s="274"/>
      <c r="BD26" s="274"/>
      <c r="BE26" s="274"/>
      <c r="BF26" s="274"/>
      <c r="BG26" s="274"/>
      <c r="BH26" s="277"/>
    </row>
    <row r="27" spans="1:60">
      <c r="A27" s="2"/>
      <c r="B27" s="2"/>
      <c r="C27" s="2"/>
      <c r="D27" s="2"/>
      <c r="E27" s="2"/>
      <c r="F27" s="2"/>
      <c r="G27" s="2"/>
      <c r="H27" s="2"/>
      <c r="I27" s="360"/>
      <c r="J27" s="2"/>
      <c r="K27" s="362"/>
      <c r="L27" s="260"/>
      <c r="M27" s="364"/>
      <c r="N27" s="261"/>
      <c r="O27" s="366"/>
      <c r="P27" s="260"/>
      <c r="Q27" s="366"/>
      <c r="R27" s="260"/>
      <c r="S27" s="2"/>
      <c r="T27" s="2"/>
      <c r="U27" s="2"/>
      <c r="V27" s="2"/>
      <c r="W27" s="2"/>
      <c r="X27" s="2"/>
      <c r="Y27" s="2"/>
      <c r="Z27" s="2"/>
      <c r="AA27" s="2"/>
      <c r="AB27" s="277"/>
      <c r="AC27" s="277"/>
      <c r="AD27" s="277"/>
      <c r="AE27" s="277"/>
      <c r="AF27" s="274"/>
      <c r="AG27" s="274"/>
      <c r="AH27" s="355" t="s">
        <v>45</v>
      </c>
      <c r="AI27" s="355"/>
      <c r="AJ27" s="355"/>
      <c r="AK27" s="355"/>
      <c r="AL27" s="355"/>
      <c r="AM27" s="355"/>
      <c r="AN27" s="355"/>
      <c r="AO27" s="355"/>
      <c r="AP27" s="15" t="s">
        <v>44</v>
      </c>
      <c r="AQ27" s="274"/>
      <c r="AR27" s="356" t="s">
        <v>43</v>
      </c>
      <c r="AS27" s="356"/>
      <c r="AT27" s="356"/>
      <c r="AU27" s="356"/>
      <c r="AV27" s="356"/>
      <c r="AW27" s="356"/>
      <c r="AX27" s="356"/>
      <c r="AY27" s="356"/>
      <c r="AZ27" s="356"/>
      <c r="BA27" s="274"/>
      <c r="BB27" s="342" t="s">
        <v>42</v>
      </c>
      <c r="BC27" s="342"/>
      <c r="BD27" s="342"/>
      <c r="BE27" s="274"/>
      <c r="BF27" s="357" t="s">
        <v>41</v>
      </c>
      <c r="BG27" s="357"/>
      <c r="BH27" s="277"/>
    </row>
    <row r="28" spans="1:60" ht="23.2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358" t="s">
        <v>40</v>
      </c>
      <c r="AC28" s="358"/>
      <c r="AD28" s="358"/>
      <c r="AE28" s="358"/>
      <c r="AF28" s="358"/>
      <c r="AG28" s="274"/>
      <c r="AH28" s="280" t="s">
        <v>9</v>
      </c>
      <c r="AI28" s="274"/>
      <c r="AJ28" s="281" t="s">
        <v>39</v>
      </c>
      <c r="AK28" s="274"/>
      <c r="AL28" s="280" t="s">
        <v>38</v>
      </c>
      <c r="AM28" s="274"/>
      <c r="AN28" s="311" t="s">
        <v>37</v>
      </c>
      <c r="AO28" s="275"/>
      <c r="AP28" s="280" t="s">
        <v>36</v>
      </c>
      <c r="AQ28" s="274"/>
      <c r="AR28" s="280" t="s">
        <v>37</v>
      </c>
      <c r="AS28" s="274"/>
      <c r="AT28" s="280" t="s">
        <v>36</v>
      </c>
      <c r="AU28" s="276"/>
      <c r="AV28" s="280" t="s">
        <v>35</v>
      </c>
      <c r="AW28" s="274"/>
      <c r="AX28" s="280" t="s">
        <v>501</v>
      </c>
      <c r="AY28" s="274"/>
      <c r="AZ28" s="280" t="s">
        <v>34</v>
      </c>
      <c r="BA28" s="274"/>
      <c r="BB28" s="341"/>
      <c r="BC28" s="341"/>
      <c r="BD28" s="341"/>
      <c r="BE28" s="274"/>
      <c r="BF28" s="341"/>
      <c r="BG28" s="341"/>
      <c r="BH28" s="277"/>
    </row>
    <row r="29" spans="1:60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320" t="s">
        <v>33</v>
      </c>
      <c r="AC29" s="296"/>
      <c r="AD29" s="296"/>
      <c r="AE29" s="296"/>
      <c r="AF29" s="296"/>
      <c r="AG29" s="296"/>
      <c r="AH29" s="299"/>
      <c r="AI29" s="294"/>
      <c r="AJ29" s="297"/>
      <c r="AK29" s="295"/>
      <c r="AL29" s="299"/>
      <c r="AM29" s="294"/>
      <c r="AN29" s="297">
        <f t="shared" ref="AN29:AN34" si="0">AL29+AJ29+AH29</f>
        <v>0</v>
      </c>
      <c r="AO29" s="294"/>
      <c r="AP29" s="299"/>
      <c r="AQ29" s="294"/>
      <c r="AR29" s="299"/>
      <c r="AS29" s="294"/>
      <c r="AT29" s="299"/>
      <c r="AU29" s="294"/>
      <c r="AV29" s="299"/>
      <c r="AW29" s="294"/>
      <c r="AX29" s="299"/>
      <c r="AY29" s="294"/>
      <c r="AZ29" s="300"/>
      <c r="BA29" s="294"/>
      <c r="BB29" s="351"/>
      <c r="BC29" s="351"/>
      <c r="BD29" s="351"/>
      <c r="BE29" s="296"/>
      <c r="BF29" s="351"/>
      <c r="BG29" s="351"/>
      <c r="BH29" s="277"/>
    </row>
    <row r="30" spans="1:60" ht="19.75" customHeight="1">
      <c r="A30" s="258"/>
      <c r="B30" s="258"/>
      <c r="C30" s="280" t="s">
        <v>32</v>
      </c>
      <c r="D30" s="258"/>
      <c r="E30" s="280" t="s">
        <v>31</v>
      </c>
      <c r="F30" s="258"/>
      <c r="G30" s="280" t="s">
        <v>30</v>
      </c>
      <c r="H30" s="258"/>
      <c r="I30" s="280" t="s">
        <v>502</v>
      </c>
      <c r="J30" s="258"/>
      <c r="K30" s="280" t="s">
        <v>28</v>
      </c>
      <c r="L30" s="258"/>
      <c r="M30" s="280" t="s">
        <v>27</v>
      </c>
      <c r="N30" s="35"/>
      <c r="O30" s="13"/>
      <c r="P30" s="13"/>
      <c r="Q30" s="280" t="s">
        <v>32</v>
      </c>
      <c r="R30" s="258"/>
      <c r="S30" s="280" t="s">
        <v>31</v>
      </c>
      <c r="T30" s="258"/>
      <c r="U30" s="280" t="s">
        <v>30</v>
      </c>
      <c r="V30" s="258"/>
      <c r="W30" s="280" t="s">
        <v>29</v>
      </c>
      <c r="X30" s="258"/>
      <c r="Y30" s="280" t="s">
        <v>28</v>
      </c>
      <c r="Z30" s="258"/>
      <c r="AA30" s="280" t="s">
        <v>27</v>
      </c>
      <c r="AB30" s="321" t="s">
        <v>26</v>
      </c>
      <c r="AC30" s="301"/>
      <c r="AD30" s="301"/>
      <c r="AE30" s="301"/>
      <c r="AF30" s="301"/>
      <c r="AG30" s="301"/>
      <c r="AH30" s="310"/>
      <c r="AI30" s="302"/>
      <c r="AJ30" s="310"/>
      <c r="AK30" s="302"/>
      <c r="AL30" s="310"/>
      <c r="AM30" s="302"/>
      <c r="AN30" s="312">
        <f t="shared" si="0"/>
        <v>0</v>
      </c>
      <c r="AO30" s="302"/>
      <c r="AP30" s="310"/>
      <c r="AQ30" s="302"/>
      <c r="AR30" s="310"/>
      <c r="AS30" s="302"/>
      <c r="AT30" s="310"/>
      <c r="AU30" s="302"/>
      <c r="AV30" s="310"/>
      <c r="AW30" s="302"/>
      <c r="AX30" s="310"/>
      <c r="AY30" s="302"/>
      <c r="AZ30" s="314"/>
      <c r="BA30" s="302"/>
      <c r="BB30" s="352"/>
      <c r="BC30" s="352"/>
      <c r="BD30" s="352"/>
      <c r="BE30" s="301"/>
      <c r="BF30" s="352"/>
      <c r="BG30" s="352"/>
      <c r="BH30" s="277"/>
    </row>
    <row r="31" spans="1:60">
      <c r="A31" s="281" t="s">
        <v>4</v>
      </c>
      <c r="B31" s="8"/>
      <c r="C31" s="282">
        <f>Calculation!B29</f>
        <v>1390081.43479905</v>
      </c>
      <c r="D31" s="9"/>
      <c r="E31" s="282">
        <f>Calculation!C29</f>
        <v>3243523.34786445</v>
      </c>
      <c r="F31" s="9"/>
      <c r="G31" s="282">
        <f>Calculation!D29</f>
        <v>3287689.3665059842</v>
      </c>
      <c r="H31" s="9"/>
      <c r="I31" s="316">
        <f>Calculation!E29</f>
        <v>1345915.4161575157</v>
      </c>
      <c r="J31" s="10"/>
      <c r="K31" s="282">
        <f>Calculation!F29</f>
        <v>483386.16</v>
      </c>
      <c r="L31" s="10"/>
      <c r="M31" s="282">
        <f>Form!E20</f>
        <v>9750595.725327</v>
      </c>
      <c r="N31" s="2"/>
      <c r="O31" s="280" t="s">
        <v>4</v>
      </c>
      <c r="P31" s="8"/>
      <c r="Q31" s="282">
        <f>Calculation!M20</f>
        <v>1139866.7765352211</v>
      </c>
      <c r="R31" s="10"/>
      <c r="S31" s="282">
        <f>Calculation!N20</f>
        <v>1297409.3391457801</v>
      </c>
      <c r="T31" s="10"/>
      <c r="U31" s="282">
        <f>Calculation!O20</f>
        <v>3123304.898180685</v>
      </c>
      <c r="V31" s="10"/>
      <c r="W31" s="282">
        <f>Calculation!P20</f>
        <v>1332456.26199594</v>
      </c>
      <c r="X31" s="10"/>
      <c r="Y31" s="282">
        <f>Calculation!AI20</f>
        <v>447132.19799999997</v>
      </c>
      <c r="Z31" s="10"/>
      <c r="AA31" s="282">
        <f>Q31+S31+U31+W31+Y31</f>
        <v>7340169.4738576254</v>
      </c>
      <c r="AB31" s="320" t="s">
        <v>25</v>
      </c>
      <c r="AC31" s="296"/>
      <c r="AD31" s="296"/>
      <c r="AE31" s="296"/>
      <c r="AF31" s="296"/>
      <c r="AG31" s="296"/>
      <c r="AH31" s="299"/>
      <c r="AI31" s="294"/>
      <c r="AJ31" s="297">
        <f>AH10-AZ10</f>
        <v>48178.331865562475</v>
      </c>
      <c r="AK31" s="294"/>
      <c r="AL31" s="297">
        <f>AJ10-BB10</f>
        <v>3944.6524506377173</v>
      </c>
      <c r="AM31" s="294"/>
      <c r="AN31" s="297">
        <f t="shared" si="0"/>
        <v>52122.984316200193</v>
      </c>
      <c r="AO31" s="294"/>
      <c r="AP31" s="297">
        <f>(AN10+AP10)-(BF10+BH10)</f>
        <v>36.253962000000001</v>
      </c>
      <c r="AQ31" s="294"/>
      <c r="AR31" s="300">
        <f>AN31*Form!E56</f>
        <v>5289.2188294155458</v>
      </c>
      <c r="AS31" s="294"/>
      <c r="AT31" s="300">
        <f>K33-Y33</f>
        <v>1952.9133750000001</v>
      </c>
      <c r="AU31" s="294"/>
      <c r="AV31" s="299"/>
      <c r="AW31" s="294"/>
      <c r="AX31" s="299"/>
      <c r="AY31" s="294"/>
      <c r="AZ31" s="300">
        <f>AX31+AV31+AT31+AR31</f>
        <v>7242.1322044155459</v>
      </c>
      <c r="BA31" s="294"/>
      <c r="BB31" s="340">
        <f>Q4*0.4</f>
        <v>56000</v>
      </c>
      <c r="BC31" s="340"/>
      <c r="BD31" s="340"/>
      <c r="BE31" s="296"/>
      <c r="BF31" s="348">
        <f>BB31/AZ31</f>
        <v>7.7325293738571439</v>
      </c>
      <c r="BG31" s="348"/>
      <c r="BH31" s="277"/>
    </row>
    <row r="32" spans="1:60">
      <c r="A32" s="281" t="s">
        <v>24</v>
      </c>
      <c r="B32" s="8"/>
      <c r="C32" s="283">
        <f>C31/$Q$4</f>
        <v>9.9291531057074991</v>
      </c>
      <c r="D32" s="101">
        <f t="shared" ref="D32:K32" si="1">D31/$Q$4</f>
        <v>0</v>
      </c>
      <c r="E32" s="283">
        <f t="shared" si="1"/>
        <v>23.168023913317501</v>
      </c>
      <c r="F32" s="101">
        <f t="shared" si="1"/>
        <v>0</v>
      </c>
      <c r="G32" s="283">
        <f t="shared" si="1"/>
        <v>23.483495475042744</v>
      </c>
      <c r="H32" s="101">
        <f t="shared" si="1"/>
        <v>0</v>
      </c>
      <c r="I32" s="317">
        <f t="shared" si="1"/>
        <v>9.6136815439822545</v>
      </c>
      <c r="J32" s="101">
        <f t="shared" si="1"/>
        <v>0</v>
      </c>
      <c r="K32" s="283">
        <f t="shared" si="1"/>
        <v>3.4527582857142853</v>
      </c>
      <c r="L32" s="101">
        <f>L31/$Q$4</f>
        <v>0</v>
      </c>
      <c r="M32" s="283">
        <f>M31/$Q$4</f>
        <v>69.64711232376429</v>
      </c>
      <c r="N32" s="2"/>
      <c r="O32" s="280" t="s">
        <v>24</v>
      </c>
      <c r="P32" s="8"/>
      <c r="Q32" s="287">
        <f>Q31/$Q$4</f>
        <v>8.1419055466801513</v>
      </c>
      <c r="R32" s="12">
        <f t="shared" ref="R32:AA32" si="2">R31/$Q$4</f>
        <v>0</v>
      </c>
      <c r="S32" s="287">
        <f t="shared" si="2"/>
        <v>9.2672095653270006</v>
      </c>
      <c r="T32" s="12">
        <f t="shared" si="2"/>
        <v>0</v>
      </c>
      <c r="U32" s="287">
        <f t="shared" si="2"/>
        <v>22.309320701290606</v>
      </c>
      <c r="V32" s="12">
        <f t="shared" si="2"/>
        <v>0</v>
      </c>
      <c r="W32" s="287">
        <f t="shared" si="2"/>
        <v>9.5175447285424291</v>
      </c>
      <c r="X32" s="12">
        <f t="shared" si="2"/>
        <v>0</v>
      </c>
      <c r="Y32" s="287">
        <f t="shared" si="2"/>
        <v>3.1938014142857143</v>
      </c>
      <c r="Z32" s="12">
        <f t="shared" si="2"/>
        <v>0</v>
      </c>
      <c r="AA32" s="287">
        <f t="shared" si="2"/>
        <v>52.429781956125893</v>
      </c>
      <c r="AB32" s="322" t="s">
        <v>23</v>
      </c>
      <c r="AC32" s="274"/>
      <c r="AD32" s="274"/>
      <c r="AE32" s="274"/>
      <c r="AF32" s="274"/>
      <c r="AG32" s="274"/>
      <c r="AH32" s="286"/>
      <c r="AI32" s="292"/>
      <c r="AJ32" s="286"/>
      <c r="AK32" s="292"/>
      <c r="AL32" s="286"/>
      <c r="AM32" s="292"/>
      <c r="AN32" s="282">
        <f t="shared" si="0"/>
        <v>0</v>
      </c>
      <c r="AO32" s="292"/>
      <c r="AP32" s="286"/>
      <c r="AQ32" s="292"/>
      <c r="AR32" s="286"/>
      <c r="AS32" s="292"/>
      <c r="AT32" s="286"/>
      <c r="AU32" s="292"/>
      <c r="AV32" s="286"/>
      <c r="AW32" s="292"/>
      <c r="AX32" s="286"/>
      <c r="AY32" s="292"/>
      <c r="AZ32" s="291"/>
      <c r="BA32" s="292"/>
      <c r="BB32" s="341"/>
      <c r="BC32" s="341"/>
      <c r="BD32" s="341"/>
      <c r="BE32" s="274"/>
      <c r="BF32" s="341"/>
      <c r="BG32" s="341"/>
      <c r="BH32" s="277"/>
    </row>
    <row r="33" spans="1:60">
      <c r="A33" s="281" t="s">
        <v>1</v>
      </c>
      <c r="B33" s="8"/>
      <c r="C33" s="288">
        <f>C34*Form!E56</f>
        <v>41342.190383592351</v>
      </c>
      <c r="D33" s="11"/>
      <c r="E33" s="288">
        <f>E34*Form!E56</f>
        <v>96465.110895048798</v>
      </c>
      <c r="F33" s="11"/>
      <c r="G33" s="288">
        <f>G34*Form!E56</f>
        <v>97778.645415727835</v>
      </c>
      <c r="H33" s="11"/>
      <c r="I33" s="318">
        <f>I34*Form!E56</f>
        <v>40028.655862913314</v>
      </c>
      <c r="J33" s="11"/>
      <c r="K33" s="288">
        <f>Form!L53</f>
        <v>26038.845000000001</v>
      </c>
      <c r="L33" s="9"/>
      <c r="M33" s="288">
        <f>SUM(C33:K33)</f>
        <v>301653.44755728228</v>
      </c>
      <c r="N33" s="2"/>
      <c r="O33" s="280" t="s">
        <v>1</v>
      </c>
      <c r="P33" s="8"/>
      <c r="Q33" s="288">
        <f>Q34*Form!E56</f>
        <v>33900.596114545733</v>
      </c>
      <c r="R33" s="110">
        <f t="shared" ref="R33:X33" si="3">($C$33/$C$31)*R31</f>
        <v>0</v>
      </c>
      <c r="S33" s="288">
        <f>S34*Form!E56</f>
        <v>38586.044358019528</v>
      </c>
      <c r="T33" s="110">
        <f t="shared" si="3"/>
        <v>0</v>
      </c>
      <c r="U33" s="288">
        <f>U34*Form!E56</f>
        <v>92889.713144941445</v>
      </c>
      <c r="V33" s="110">
        <f t="shared" si="3"/>
        <v>0</v>
      </c>
      <c r="W33" s="288">
        <f>W34*Form!E56</f>
        <v>39628.369304284155</v>
      </c>
      <c r="X33" s="11">
        <f t="shared" si="3"/>
        <v>0</v>
      </c>
      <c r="Y33" s="288">
        <f>IFERROR(($K$33/$K$31)*Y31,0)</f>
        <v>24085.931625000001</v>
      </c>
      <c r="Z33" s="9"/>
      <c r="AA33" s="288">
        <f>SUM(P33:Y33)</f>
        <v>229090.65454679084</v>
      </c>
      <c r="AB33" s="320" t="s">
        <v>22</v>
      </c>
      <c r="AC33" s="296"/>
      <c r="AD33" s="296"/>
      <c r="AE33" s="296"/>
      <c r="AF33" s="296"/>
      <c r="AG33" s="296"/>
      <c r="AH33" s="299"/>
      <c r="AI33" s="294"/>
      <c r="AJ33" s="297">
        <f>AD10-AV10</f>
        <v>73333.72164824995</v>
      </c>
      <c r="AK33" s="294"/>
      <c r="AL33" s="299"/>
      <c r="AM33" s="294"/>
      <c r="AN33" s="297">
        <f t="shared" si="0"/>
        <v>73333.72164824995</v>
      </c>
      <c r="AO33" s="294"/>
      <c r="AP33" s="299"/>
      <c r="AQ33" s="294"/>
      <c r="AR33" s="300">
        <f>AN33*Form!E56</f>
        <v>7441.5942690466172</v>
      </c>
      <c r="AS33" s="294"/>
      <c r="AT33" s="299"/>
      <c r="AU33" s="294"/>
      <c r="AV33" s="299"/>
      <c r="AW33" s="294"/>
      <c r="AX33" s="299"/>
      <c r="AY33" s="294"/>
      <c r="AZ33" s="300">
        <f>AX33+AV33+AT33+AR33</f>
        <v>7441.5942690466172</v>
      </c>
      <c r="BA33" s="294"/>
      <c r="BB33" s="340">
        <f>Q4*0.5</f>
        <v>70000</v>
      </c>
      <c r="BC33" s="340"/>
      <c r="BD33" s="340"/>
      <c r="BE33" s="296"/>
      <c r="BF33" s="348">
        <f>BB33/AZ33</f>
        <v>9.4065864745093233</v>
      </c>
      <c r="BG33" s="348"/>
      <c r="BH33" s="277"/>
    </row>
    <row r="34" spans="1:60">
      <c r="A34" s="281" t="s">
        <v>3</v>
      </c>
      <c r="B34" s="8"/>
      <c r="C34" s="282">
        <f>C31/3.412</f>
        <v>407409.56471250003</v>
      </c>
      <c r="D34" s="10"/>
      <c r="E34" s="282">
        <f>E31/3.412</f>
        <v>950622.31766249996</v>
      </c>
      <c r="F34" s="10"/>
      <c r="G34" s="282">
        <f>G31/3.412</f>
        <v>963566.63731124974</v>
      </c>
      <c r="H34" s="10"/>
      <c r="I34" s="316">
        <f>I31/3.412</f>
        <v>394465.24506375025</v>
      </c>
      <c r="J34" s="10"/>
      <c r="K34" s="2"/>
      <c r="L34" s="9"/>
      <c r="M34" s="8"/>
      <c r="N34" s="2"/>
      <c r="O34" s="280" t="s">
        <v>3</v>
      </c>
      <c r="P34" s="8"/>
      <c r="Q34" s="282">
        <f>Q31/3.412</f>
        <v>334075.84306425008</v>
      </c>
      <c r="R34" s="10">
        <f t="shared" ref="R34:X34" si="4">R31/3.412</f>
        <v>0</v>
      </c>
      <c r="S34" s="282">
        <f t="shared" si="4"/>
        <v>380248.92706500005</v>
      </c>
      <c r="T34" s="10">
        <f t="shared" si="4"/>
        <v>0</v>
      </c>
      <c r="U34" s="282">
        <f t="shared" si="4"/>
        <v>915388.30544568726</v>
      </c>
      <c r="V34" s="10">
        <f t="shared" si="4"/>
        <v>0</v>
      </c>
      <c r="W34" s="282">
        <f t="shared" si="4"/>
        <v>390520.59261311253</v>
      </c>
      <c r="X34" s="10">
        <f t="shared" si="4"/>
        <v>0</v>
      </c>
      <c r="Y34" s="10"/>
      <c r="Z34" s="9"/>
      <c r="AA34" s="9"/>
      <c r="AB34" s="322" t="s">
        <v>21</v>
      </c>
      <c r="AC34" s="274"/>
      <c r="AD34" s="274"/>
      <c r="AE34" s="274"/>
      <c r="AF34" s="274"/>
      <c r="AG34" s="274"/>
      <c r="AH34" s="282">
        <f>AF10-AX10</f>
        <v>570373.39059749991</v>
      </c>
      <c r="AI34" s="292"/>
      <c r="AJ34" s="286"/>
      <c r="AK34" s="292"/>
      <c r="AL34" s="286"/>
      <c r="AM34" s="292"/>
      <c r="AN34" s="282">
        <f t="shared" si="0"/>
        <v>570373.39059749991</v>
      </c>
      <c r="AO34" s="292"/>
      <c r="AP34" s="286"/>
      <c r="AQ34" s="292"/>
      <c r="AR34" s="313">
        <f>AN34*Form!E56</f>
        <v>57879.066537029277</v>
      </c>
      <c r="AS34" s="292"/>
      <c r="AT34" s="286"/>
      <c r="AU34" s="292"/>
      <c r="AV34" s="286"/>
      <c r="AW34" s="292"/>
      <c r="AX34" s="286"/>
      <c r="AY34" s="292"/>
      <c r="AZ34" s="291">
        <f>AX34+AV34+AT34+AR34</f>
        <v>57879.066537029277</v>
      </c>
      <c r="BA34" s="292"/>
      <c r="BB34" s="339">
        <f>Q4*4</f>
        <v>560000</v>
      </c>
      <c r="BC34" s="339"/>
      <c r="BD34" s="339"/>
      <c r="BE34" s="274"/>
      <c r="BF34" s="349">
        <f>BB34/AZ34</f>
        <v>9.6753460880667266</v>
      </c>
      <c r="BG34" s="349"/>
      <c r="BH34" s="277"/>
    </row>
    <row r="35" spans="1:60">
      <c r="A35" s="281" t="s">
        <v>19</v>
      </c>
      <c r="B35" s="8"/>
      <c r="C35" s="284">
        <f>((C34/8760)*1000)/$Q$4</f>
        <v>0.33219957983732878</v>
      </c>
      <c r="D35" s="244">
        <f t="shared" ref="D35:I35" si="5">((D34/8760)*1000)/$Q$4</f>
        <v>0</v>
      </c>
      <c r="E35" s="284">
        <f t="shared" si="5"/>
        <v>0.77513235295376703</v>
      </c>
      <c r="F35" s="244">
        <f t="shared" si="5"/>
        <v>0</v>
      </c>
      <c r="G35" s="284">
        <f t="shared" si="5"/>
        <v>0.78568708195633541</v>
      </c>
      <c r="H35" s="244">
        <f t="shared" si="5"/>
        <v>0</v>
      </c>
      <c r="I35" s="319">
        <f t="shared" si="5"/>
        <v>0.32164485083476052</v>
      </c>
      <c r="J35" s="9"/>
      <c r="K35" s="256" t="s">
        <v>20</v>
      </c>
      <c r="L35" s="9"/>
      <c r="M35" s="257">
        <f>Calculation!C38</f>
        <v>195.01191450653999</v>
      </c>
      <c r="N35" s="2"/>
      <c r="O35" s="280" t="s">
        <v>19</v>
      </c>
      <c r="P35" s="8"/>
      <c r="Q35" s="284">
        <f>((Q34/8760)*1000)/$Q$4</f>
        <v>0.27240365546660966</v>
      </c>
      <c r="R35" s="9"/>
      <c r="S35" s="284">
        <f>((S34/8760)*1000)/$Q$4</f>
        <v>0.31005294118150689</v>
      </c>
      <c r="T35" s="9"/>
      <c r="U35" s="284">
        <f>((U34/8760)*1000)/$Q$4</f>
        <v>0.74640272785851869</v>
      </c>
      <c r="V35" s="9"/>
      <c r="W35" s="284">
        <f>((W34/8760)*1000)/$Q$4</f>
        <v>0.31842840232641267</v>
      </c>
      <c r="X35" s="9"/>
      <c r="Y35" s="9"/>
      <c r="Z35" s="9"/>
      <c r="AA35" s="9"/>
      <c r="AB35" s="320" t="s">
        <v>18</v>
      </c>
      <c r="AC35" s="296"/>
      <c r="AD35" s="296"/>
      <c r="AE35" s="296"/>
      <c r="AF35" s="296"/>
      <c r="AG35" s="296"/>
      <c r="AH35" s="297">
        <f>SUM(AH29:AH34)</f>
        <v>570373.39059749991</v>
      </c>
      <c r="AI35" s="294"/>
      <c r="AJ35" s="297">
        <f>SUM(AJ29:AJ34)</f>
        <v>121512.05351381243</v>
      </c>
      <c r="AK35" s="298"/>
      <c r="AL35" s="297">
        <f>SUM(AL29:AL34)</f>
        <v>3944.6524506377173</v>
      </c>
      <c r="AM35" s="294"/>
      <c r="AN35" s="297">
        <f>SUM(AN29:AN34)</f>
        <v>695830.09656195005</v>
      </c>
      <c r="AO35" s="298"/>
      <c r="AP35" s="299">
        <f>SUM(AP29:AP34)</f>
        <v>36.253962000000001</v>
      </c>
      <c r="AQ35" s="294"/>
      <c r="AR35" s="300">
        <f>SUM(AR29:AR34)</f>
        <v>70609.879635491438</v>
      </c>
      <c r="AS35" s="294"/>
      <c r="AT35" s="300">
        <f>SUM(AT29:AT34)</f>
        <v>1952.9133750000001</v>
      </c>
      <c r="AU35" s="294"/>
      <c r="AV35" s="299">
        <f>SUM(AV29:AV34)</f>
        <v>0</v>
      </c>
      <c r="AW35" s="294"/>
      <c r="AX35" s="299">
        <f>SUM(AX29:AX34)</f>
        <v>0</v>
      </c>
      <c r="AY35" s="294"/>
      <c r="AZ35" s="300">
        <f>SUM(AZ29:AZ34)</f>
        <v>72562.793010491441</v>
      </c>
      <c r="BA35" s="294"/>
      <c r="BB35" s="340">
        <f>SUM(BB29:BD34)</f>
        <v>686000</v>
      </c>
      <c r="BC35" s="340"/>
      <c r="BD35" s="340"/>
      <c r="BE35" s="296"/>
      <c r="BF35" s="348">
        <f>BB35/AZ35</f>
        <v>9.453880860137442</v>
      </c>
      <c r="BG35" s="348"/>
      <c r="BH35" s="277"/>
    </row>
    <row r="36" spans="1:60">
      <c r="A36" s="2"/>
      <c r="B36" s="2"/>
      <c r="C36" s="2"/>
      <c r="D36" s="2"/>
      <c r="E36" s="2"/>
      <c r="F36" s="2"/>
      <c r="G36" s="2"/>
      <c r="H36" s="2"/>
      <c r="I36" s="353" t="s">
        <v>17</v>
      </c>
      <c r="J36" s="353"/>
      <c r="K36" s="353"/>
      <c r="L36" s="2"/>
      <c r="M36" s="8">
        <v>120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2"/>
    </row>
    <row r="37" spans="1:60" ht="12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2"/>
    </row>
  </sheetData>
  <mergeCells count="45">
    <mergeCell ref="AV7:BB7"/>
    <mergeCell ref="BF7:BH7"/>
    <mergeCell ref="I36:K36"/>
    <mergeCell ref="A24:G25"/>
    <mergeCell ref="AH27:AO27"/>
    <mergeCell ref="AR27:AZ27"/>
    <mergeCell ref="BF27:BG27"/>
    <mergeCell ref="AB28:AF28"/>
    <mergeCell ref="I26:I27"/>
    <mergeCell ref="K26:K27"/>
    <mergeCell ref="M26:M27"/>
    <mergeCell ref="O26:O27"/>
    <mergeCell ref="Q26:Q27"/>
    <mergeCell ref="BB29:BD29"/>
    <mergeCell ref="BB30:BD30"/>
    <mergeCell ref="BB31:BD31"/>
    <mergeCell ref="BF33:BG33"/>
    <mergeCell ref="BF34:BG34"/>
    <mergeCell ref="BF35:BG35"/>
    <mergeCell ref="AB20:AD20"/>
    <mergeCell ref="AH20:AJ20"/>
    <mergeCell ref="AB21:AD21"/>
    <mergeCell ref="BB32:BD32"/>
    <mergeCell ref="BB33:BD33"/>
    <mergeCell ref="BF28:BG28"/>
    <mergeCell ref="BF29:BG29"/>
    <mergeCell ref="BF30:BG30"/>
    <mergeCell ref="BF31:BG31"/>
    <mergeCell ref="BF32:BG32"/>
    <mergeCell ref="E2:K2"/>
    <mergeCell ref="AZ4:BD4"/>
    <mergeCell ref="AF2:AN2"/>
    <mergeCell ref="BB34:BD34"/>
    <mergeCell ref="BB35:BD35"/>
    <mergeCell ref="BB28:BD28"/>
    <mergeCell ref="BB27:BD27"/>
    <mergeCell ref="AB18:AD18"/>
    <mergeCell ref="AH18:AJ18"/>
    <mergeCell ref="AT18:BB18"/>
    <mergeCell ref="AB19:AD19"/>
    <mergeCell ref="AH19:AJ19"/>
    <mergeCell ref="AB6:AP6"/>
    <mergeCell ref="AT6:BH6"/>
    <mergeCell ref="AD7:AJ7"/>
    <mergeCell ref="AN7:AP7"/>
  </mergeCells>
  <pageMargins left="0.7" right="0.7" top="0.75" bottom="0.75" header="0.3" footer="0.3"/>
  <pageSetup scale="95" fitToWidth="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4854B-5158-400E-8DD4-91E6966FA186}">
  <sheetPr codeName="Sheet7"/>
  <dimension ref="A1:O65"/>
  <sheetViews>
    <sheetView showGridLines="0" tabSelected="1" zoomScale="90" zoomScaleNormal="90" workbookViewId="0">
      <selection activeCell="Q16" sqref="Q16"/>
    </sheetView>
  </sheetViews>
  <sheetFormatPr defaultRowHeight="14.5"/>
  <cols>
    <col min="1" max="1" width="4.81640625" customWidth="1"/>
    <col min="2" max="2" width="5.54296875" customWidth="1"/>
    <col min="3" max="3" width="14.453125" customWidth="1"/>
    <col min="4" max="4" width="11.81640625" customWidth="1"/>
    <col min="5" max="5" width="11.1796875" customWidth="1"/>
    <col min="6" max="6" width="7.81640625" customWidth="1"/>
    <col min="7" max="7" width="7.6328125" customWidth="1"/>
    <col min="8" max="8" width="10" customWidth="1"/>
    <col min="9" max="9" width="7.1796875" customWidth="1"/>
    <col min="11" max="11" width="21.81640625" customWidth="1"/>
    <col min="12" max="12" width="13.453125" customWidth="1"/>
    <col min="15" max="15" width="12" bestFit="1" customWidth="1"/>
  </cols>
  <sheetData>
    <row r="1" spans="1:14">
      <c r="A1" s="201"/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330"/>
    </row>
    <row r="2" spans="1:14">
      <c r="A2" s="201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330"/>
    </row>
    <row r="3" spans="1:14" ht="17" customHeight="1">
      <c r="A3" s="201"/>
      <c r="B3" s="201"/>
      <c r="C3" s="331" t="s">
        <v>474</v>
      </c>
      <c r="D3" s="367" t="s">
        <v>506</v>
      </c>
      <c r="E3" s="367"/>
      <c r="F3" s="201"/>
      <c r="G3" s="201"/>
      <c r="H3" s="201"/>
      <c r="I3" s="201"/>
      <c r="J3" s="201"/>
      <c r="K3" s="201"/>
      <c r="L3" s="201"/>
      <c r="M3" s="201"/>
      <c r="N3" s="330"/>
    </row>
    <row r="4" spans="1:14" ht="27.75" customHeight="1">
      <c r="A4" s="201"/>
      <c r="B4" s="201"/>
      <c r="C4" s="246" t="s">
        <v>473</v>
      </c>
      <c r="D4" s="367"/>
      <c r="E4" s="367"/>
      <c r="F4" s="201"/>
      <c r="G4" s="201"/>
      <c r="H4" s="201"/>
      <c r="I4" s="201"/>
      <c r="J4" s="201"/>
      <c r="K4" s="218" t="s">
        <v>236</v>
      </c>
      <c r="L4" s="380" t="s">
        <v>220</v>
      </c>
      <c r="M4" s="380"/>
      <c r="N4" s="330"/>
    </row>
    <row r="5" spans="1:14" ht="2.25" customHeight="1">
      <c r="A5" s="201"/>
      <c r="B5" s="201"/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330"/>
    </row>
    <row r="6" spans="1:14">
      <c r="A6" s="201"/>
      <c r="B6" s="201"/>
      <c r="C6" s="381" t="s">
        <v>237</v>
      </c>
      <c r="D6" s="380"/>
      <c r="E6" s="380"/>
      <c r="F6" s="380"/>
      <c r="G6" s="203"/>
      <c r="H6" s="203"/>
      <c r="I6" s="203"/>
      <c r="J6" s="201"/>
      <c r="K6" s="201"/>
      <c r="L6" s="201"/>
      <c r="M6" s="201"/>
      <c r="N6" s="330"/>
    </row>
    <row r="7" spans="1:14">
      <c r="A7" s="201"/>
      <c r="B7" s="201"/>
      <c r="C7" s="381"/>
      <c r="D7" s="380"/>
      <c r="E7" s="380"/>
      <c r="F7" s="380"/>
      <c r="G7" s="203"/>
      <c r="H7" s="203"/>
      <c r="I7" s="203"/>
      <c r="J7" s="201"/>
      <c r="K7" s="201"/>
      <c r="L7" s="201"/>
      <c r="M7" s="201"/>
      <c r="N7" s="330"/>
    </row>
    <row r="8" spans="1:14" ht="2.25" customHeight="1">
      <c r="A8" s="201"/>
      <c r="B8" s="201"/>
      <c r="C8" s="201"/>
      <c r="D8" s="203"/>
      <c r="E8" s="203"/>
      <c r="F8" s="203"/>
      <c r="G8" s="203"/>
      <c r="H8" s="203"/>
      <c r="I8" s="203"/>
      <c r="J8" s="201"/>
      <c r="K8" s="201"/>
      <c r="L8" s="201"/>
      <c r="M8" s="201"/>
      <c r="N8" s="330"/>
    </row>
    <row r="9" spans="1:14">
      <c r="A9" s="201"/>
      <c r="B9" s="201"/>
      <c r="C9" s="217" t="s">
        <v>238</v>
      </c>
      <c r="D9" s="215"/>
      <c r="E9" s="201"/>
      <c r="F9" s="201"/>
      <c r="G9" s="201"/>
      <c r="H9" s="201"/>
      <c r="I9" s="201"/>
      <c r="J9" s="201"/>
      <c r="K9" s="217" t="s">
        <v>240</v>
      </c>
      <c r="L9" s="216"/>
      <c r="M9" s="201"/>
      <c r="N9" s="330"/>
    </row>
    <row r="10" spans="1:14" ht="3" customHeight="1">
      <c r="A10" s="201"/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330"/>
    </row>
    <row r="11" spans="1:14">
      <c r="A11" s="201"/>
      <c r="B11" s="201"/>
      <c r="C11" s="217" t="s">
        <v>239</v>
      </c>
      <c r="D11" s="215"/>
      <c r="E11" s="201"/>
      <c r="F11" s="201"/>
      <c r="G11" s="201"/>
      <c r="H11" s="201"/>
      <c r="I11" s="201"/>
      <c r="J11" s="379" t="s">
        <v>185</v>
      </c>
      <c r="K11" s="379"/>
      <c r="L11" s="205"/>
      <c r="M11" s="205"/>
      <c r="N11" s="330"/>
    </row>
    <row r="12" spans="1:14" ht="29.25" customHeight="1">
      <c r="A12" s="201"/>
      <c r="B12" s="201"/>
      <c r="C12" s="201"/>
      <c r="D12" s="201"/>
      <c r="E12" s="201"/>
      <c r="F12" s="201"/>
      <c r="G12" s="201"/>
      <c r="H12" s="201"/>
      <c r="I12" s="201"/>
      <c r="J12" s="202">
        <v>1</v>
      </c>
      <c r="K12" s="227" t="s">
        <v>424</v>
      </c>
      <c r="L12" s="241">
        <v>140000</v>
      </c>
      <c r="M12" s="201"/>
      <c r="N12" s="330"/>
    </row>
    <row r="13" spans="1:14" ht="29">
      <c r="A13" s="201"/>
      <c r="B13" s="201"/>
      <c r="C13" s="370" t="s">
        <v>416</v>
      </c>
      <c r="D13" s="371"/>
      <c r="E13" s="215">
        <v>140000</v>
      </c>
      <c r="F13" s="204" t="s">
        <v>14</v>
      </c>
      <c r="G13" s="201"/>
      <c r="H13" s="201"/>
      <c r="I13" s="201"/>
      <c r="J13" s="222">
        <v>2</v>
      </c>
      <c r="K13" s="228" t="s">
        <v>417</v>
      </c>
      <c r="L13" s="242">
        <v>1</v>
      </c>
      <c r="M13" s="201"/>
      <c r="N13" s="330"/>
    </row>
    <row r="14" spans="1:14" ht="30" customHeight="1">
      <c r="A14" s="373" t="s">
        <v>399</v>
      </c>
      <c r="B14" s="373" t="s">
        <v>12</v>
      </c>
      <c r="C14" s="374" t="s">
        <v>299</v>
      </c>
      <c r="D14" s="374"/>
      <c r="E14" s="204">
        <f>D53</f>
        <v>2716063.7647500001</v>
      </c>
      <c r="F14" s="206" t="s">
        <v>3</v>
      </c>
      <c r="G14" s="223"/>
      <c r="H14" s="223"/>
      <c r="I14" s="223"/>
      <c r="J14" s="222">
        <v>3</v>
      </c>
      <c r="K14" s="228" t="s">
        <v>433</v>
      </c>
      <c r="L14" s="243">
        <v>3147</v>
      </c>
      <c r="M14" s="201"/>
      <c r="N14" s="330"/>
    </row>
    <row r="15" spans="1:14" ht="28.5" customHeight="1">
      <c r="A15" s="373"/>
      <c r="B15" s="373"/>
      <c r="C15" s="374" t="s">
        <v>207</v>
      </c>
      <c r="D15" s="374"/>
      <c r="E15" s="204">
        <f>_xlfn.XLOOKUP(F14,Refference!X4:X8,Refference!Y4:Y8)*E14</f>
        <v>9267209.5653269999</v>
      </c>
      <c r="F15" s="204" t="s">
        <v>4</v>
      </c>
      <c r="G15" s="201"/>
      <c r="H15" s="201"/>
      <c r="I15" s="201"/>
      <c r="J15" s="222">
        <v>4</v>
      </c>
      <c r="K15" s="228" t="s">
        <v>446</v>
      </c>
      <c r="L15" s="243">
        <v>2433</v>
      </c>
      <c r="M15" s="201"/>
      <c r="N15" s="330"/>
    </row>
    <row r="16" spans="1:14" ht="25.5" customHeight="1">
      <c r="A16" s="373"/>
      <c r="B16" s="373"/>
      <c r="C16" s="375" t="s">
        <v>298</v>
      </c>
      <c r="D16" s="375"/>
      <c r="E16" s="204">
        <f>E15*2.8</f>
        <v>25948186.7829156</v>
      </c>
      <c r="F16" s="204" t="s">
        <v>4</v>
      </c>
      <c r="G16" s="201"/>
      <c r="H16" s="201"/>
      <c r="I16" s="201"/>
      <c r="J16" s="202">
        <v>5</v>
      </c>
      <c r="K16" s="224" t="str" cm="1">
        <f t="array" ref="K16">_xlfn.IFNA(_xlfn.XLOOKUP(Form!$L$4,'Pred. EUI'!$B$76:$L$76,_xlfn.XLOOKUP(Form!J16,'Pred. EUI'!$A$82:$A$88,'Pred. EUI'!$B$82:$L$88)),"")</f>
        <v>High School</v>
      </c>
      <c r="L16" s="214" t="s">
        <v>182</v>
      </c>
      <c r="M16" s="207"/>
      <c r="N16" s="330"/>
    </row>
    <row r="17" spans="1:14" ht="27.75" customHeight="1">
      <c r="A17" s="373"/>
      <c r="B17" s="378" t="s">
        <v>11</v>
      </c>
      <c r="C17" s="374" t="s">
        <v>299</v>
      </c>
      <c r="D17" s="374"/>
      <c r="E17" s="204">
        <f>K53</f>
        <v>4702.2000000000007</v>
      </c>
      <c r="F17" s="204" t="s">
        <v>398</v>
      </c>
      <c r="G17" s="201"/>
      <c r="H17" s="201"/>
      <c r="I17" s="201"/>
      <c r="J17" s="202">
        <v>6</v>
      </c>
      <c r="K17" s="224" t="str" cm="1">
        <f t="array" ref="K17">_xlfn.IFNA(_xlfn.XLOOKUP(Form!$L$4,'Pred. EUI'!$B$76:$L$76,_xlfn.XLOOKUP(Form!J17,'Pred. EUI'!$A$82:$A$88,'Pred. EUI'!$B$82:$L$88)),"")</f>
        <v>Number of workers</v>
      </c>
      <c r="L17" s="214">
        <v>419</v>
      </c>
      <c r="M17" s="207"/>
      <c r="N17" s="330"/>
    </row>
    <row r="18" spans="1:14" ht="29.25" customHeight="1">
      <c r="A18" s="373"/>
      <c r="B18" s="378"/>
      <c r="C18" s="374" t="s">
        <v>207</v>
      </c>
      <c r="D18" s="374"/>
      <c r="E18" s="204">
        <f>_xlfn.XLOOKUP(F17,Refference!X9:X17,Refference!Y9:Y17)*E17</f>
        <v>483386.16000000003</v>
      </c>
      <c r="F18" s="204" t="s">
        <v>4</v>
      </c>
      <c r="G18" s="201"/>
      <c r="H18" s="201"/>
      <c r="I18" s="201"/>
      <c r="J18" s="202">
        <v>7</v>
      </c>
      <c r="K18" s="224" t="str" cm="1">
        <f t="array" ref="K18">_xlfn.IFNA(_xlfn.XLOOKUP(Form!$L$4,'Pred. EUI'!$B$76:$L$76,_xlfn.XLOOKUP(Form!J18,'Pred. EUI'!$A$82:$A$88,'Pred. EUI'!$B$82:$L$88)),"")</f>
        <v>Open weekends</v>
      </c>
      <c r="L18" s="214"/>
      <c r="M18" s="207"/>
      <c r="N18" s="330"/>
    </row>
    <row r="19" spans="1:14" ht="13.75" customHeight="1">
      <c r="A19" s="373"/>
      <c r="B19" s="378"/>
      <c r="C19" s="375" t="s">
        <v>298</v>
      </c>
      <c r="D19" s="375"/>
      <c r="E19" s="204">
        <f>E18*1.05</f>
        <v>507555.46800000005</v>
      </c>
      <c r="F19" s="204" t="s">
        <v>4</v>
      </c>
      <c r="G19" s="201"/>
      <c r="H19" s="201"/>
      <c r="I19" s="201"/>
      <c r="J19" s="202">
        <v>8</v>
      </c>
      <c r="K19" s="207" t="str" cm="1">
        <f t="array" ref="K19">_xlfn.IFNA(_xlfn.XLOOKUP(Form!$L$4,'Pred. EUI'!$B$76:$L$76,_xlfn.XLOOKUP(Form!J19,'Pred. EUI'!$A$83:$A$88,'Pred. EUI'!$B$83:$L$88)),"")</f>
        <v>Presence of cooking</v>
      </c>
      <c r="L19" s="214">
        <v>300</v>
      </c>
      <c r="M19" s="207"/>
      <c r="N19" s="330"/>
    </row>
    <row r="20" spans="1:14" ht="15" customHeight="1">
      <c r="A20" s="373"/>
      <c r="B20" s="369" t="s">
        <v>400</v>
      </c>
      <c r="C20" s="369"/>
      <c r="D20" s="369"/>
      <c r="E20" s="204">
        <f>E18+E15</f>
        <v>9750595.725327</v>
      </c>
      <c r="F20" s="204" t="s">
        <v>4</v>
      </c>
      <c r="G20" s="201"/>
      <c r="H20" s="201"/>
      <c r="I20" s="201"/>
      <c r="J20" s="202">
        <v>9</v>
      </c>
      <c r="K20" s="207" t="str" cm="1">
        <f t="array" ref="K20">_xlfn.IFNA(_xlfn.XLOOKUP(Form!$L$4,'Pred. EUI'!$B$76:$L$76,_xlfn.XLOOKUP(Form!J20,'Pred. EUI'!$A$83:$A$88,'Pred. EUI'!$B$83:$L$88)),"")</f>
        <v>Cooking</v>
      </c>
      <c r="L20" s="214" t="s">
        <v>182</v>
      </c>
      <c r="M20" s="207"/>
      <c r="N20" s="330"/>
    </row>
    <row r="21" spans="1:14">
      <c r="A21" s="373"/>
      <c r="B21" s="369" t="s">
        <v>401</v>
      </c>
      <c r="C21" s="369"/>
      <c r="D21" s="369"/>
      <c r="E21" s="204">
        <f>E19+E16</f>
        <v>26455742.250915598</v>
      </c>
      <c r="F21" s="204" t="s">
        <v>4</v>
      </c>
      <c r="G21" s="201"/>
      <c r="H21" s="201"/>
      <c r="I21" s="201"/>
      <c r="J21" s="201"/>
      <c r="K21" s="201"/>
      <c r="L21" s="201"/>
      <c r="M21" s="201"/>
      <c r="N21" s="330"/>
    </row>
    <row r="22" spans="1:14">
      <c r="A22" s="201"/>
      <c r="B22" s="369" t="s">
        <v>418</v>
      </c>
      <c r="C22" s="369"/>
      <c r="D22" s="369"/>
      <c r="E22" s="204">
        <f>E21/E13</f>
        <v>188.96958750653999</v>
      </c>
      <c r="F22" s="204"/>
      <c r="G22" s="201"/>
      <c r="H22" s="201"/>
      <c r="I22" s="201"/>
      <c r="J22" s="201"/>
      <c r="K22" s="201"/>
      <c r="L22" s="201"/>
      <c r="M22" s="201"/>
      <c r="N22" s="330"/>
    </row>
    <row r="23" spans="1:14">
      <c r="A23" s="201"/>
      <c r="B23" s="201" t="s">
        <v>402</v>
      </c>
      <c r="C23" s="201"/>
      <c r="D23" s="201"/>
      <c r="E23" s="201"/>
      <c r="F23" s="201"/>
      <c r="G23" s="201"/>
      <c r="H23" s="201"/>
      <c r="I23" s="201"/>
      <c r="J23" s="210" t="s">
        <v>422</v>
      </c>
      <c r="K23" s="201"/>
      <c r="L23" s="201"/>
      <c r="M23" s="201"/>
      <c r="N23" s="330"/>
    </row>
    <row r="24" spans="1:14">
      <c r="A24" s="201"/>
      <c r="B24" s="201"/>
      <c r="C24" s="201"/>
      <c r="D24" s="201"/>
      <c r="E24" s="201"/>
      <c r="F24" s="201"/>
      <c r="G24" s="201"/>
      <c r="H24" s="201"/>
      <c r="I24" s="201"/>
      <c r="J24" s="210"/>
      <c r="K24" s="376" t="s">
        <v>425</v>
      </c>
      <c r="L24" s="377"/>
      <c r="M24" s="201"/>
      <c r="N24" s="330"/>
    </row>
    <row r="25" spans="1:14">
      <c r="A25" s="201"/>
      <c r="B25" s="210" t="s">
        <v>419</v>
      </c>
      <c r="C25" s="201"/>
      <c r="D25" s="201"/>
      <c r="E25" s="209"/>
      <c r="F25" s="209"/>
      <c r="G25" s="209"/>
      <c r="H25" s="209"/>
      <c r="I25" s="201"/>
      <c r="J25" s="208" t="s">
        <v>423</v>
      </c>
      <c r="K25" s="211" t="s">
        <v>204</v>
      </c>
      <c r="L25" s="211" t="s">
        <v>203</v>
      </c>
      <c r="M25" s="201"/>
      <c r="N25" s="330"/>
    </row>
    <row r="26" spans="1:14" ht="15" customHeight="1">
      <c r="A26" s="201"/>
      <c r="B26" s="201" t="s">
        <v>420</v>
      </c>
      <c r="C26" s="201"/>
      <c r="D26" s="204">
        <f>VLOOKUP("NO",Calculation!F129:G228,2)</f>
        <v>46</v>
      </c>
      <c r="E26" s="209"/>
      <c r="F26" s="209"/>
      <c r="G26" s="209"/>
      <c r="H26" s="209"/>
      <c r="I26" s="201"/>
      <c r="J26" s="219">
        <v>75</v>
      </c>
      <c r="K26" s="212" cm="1">
        <f t="array" ref="K26">_xlfn.XLOOKUP($L$4,Max!$C$2:$E$2,_xlfn.XLOOKUP(Form!J26,Max!$A$4:$A$103,Max!$C$4:$E$103))</f>
        <v>0.71519999999999995</v>
      </c>
      <c r="L26" s="212" cm="1">
        <f t="array" ref="L26">_xlfn.XLOOKUP($L$4,Max!$C$2:$E$2,_xlfn.XLOOKUP(Form!J26,Min!$A$4:$A$103,Min!$C$4:$E$103))</f>
        <v>0.72499999999999998</v>
      </c>
      <c r="M26" s="201"/>
      <c r="N26" s="330"/>
    </row>
    <row r="27" spans="1:14">
      <c r="A27" s="201"/>
      <c r="B27" s="201" t="s">
        <v>421</v>
      </c>
      <c r="C27" s="201"/>
      <c r="D27" s="240">
        <f>E22/'Pred. EUI Calc.'!G15</f>
        <v>0.963019762061882</v>
      </c>
      <c r="E27" s="209"/>
      <c r="F27" s="209"/>
      <c r="G27" s="209"/>
      <c r="H27" s="209"/>
      <c r="I27" s="201"/>
      <c r="J27" s="220">
        <v>50</v>
      </c>
      <c r="K27" s="212" cm="1">
        <f t="array" ref="K27">_xlfn.XLOOKUP($L$4,Max!$C$2:$E$2,_xlfn.XLOOKUP(Form!J27,Max!$A$4:$A$103,Max!$C$4:$E$103))</f>
        <v>0.94910000000000005</v>
      </c>
      <c r="L27" s="212" cm="1">
        <f t="array" ref="L27">_xlfn.XLOOKUP($L$4,Max!$C$2:$E$2,_xlfn.XLOOKUP(Form!J27,Min!$A$4:$A$103,Min!$C$4:$E$103))</f>
        <v>0.9587</v>
      </c>
      <c r="M27" s="201"/>
      <c r="N27" s="330"/>
    </row>
    <row r="28" spans="1:14">
      <c r="A28" s="201"/>
      <c r="B28" s="201"/>
      <c r="C28" s="201"/>
      <c r="D28" s="201"/>
      <c r="E28" s="201"/>
      <c r="F28" s="201"/>
      <c r="G28" s="209"/>
      <c r="H28" s="209"/>
      <c r="I28" s="201"/>
      <c r="J28" s="221">
        <v>25</v>
      </c>
      <c r="K28" s="212" cm="1">
        <f t="array" ref="K28">_xlfn.XLOOKUP($L$4,Max!$C$2:$E$2,_xlfn.XLOOKUP(Form!J28,Max!$A$4:$A$103,Max!$C$4:$E$103))</f>
        <v>1.2294</v>
      </c>
      <c r="L28" s="212" cm="1">
        <f t="array" ref="L28">_xlfn.XLOOKUP($L$4,Max!$C$2:$E$2,_xlfn.XLOOKUP(Form!J28,Min!$A$4:$A$103,Min!$C$4:$E$103))</f>
        <v>1.2439</v>
      </c>
      <c r="M28" s="201"/>
      <c r="N28" s="330"/>
    </row>
    <row r="29" spans="1:14">
      <c r="A29" s="201"/>
      <c r="B29" s="201"/>
      <c r="C29" s="201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330"/>
    </row>
    <row r="30" spans="1:14">
      <c r="A30" s="201"/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330"/>
    </row>
    <row r="31" spans="1:14" ht="15.5">
      <c r="A31" s="201"/>
      <c r="B31" s="201"/>
      <c r="C31" s="201"/>
      <c r="D31" s="201"/>
      <c r="E31" s="201"/>
      <c r="F31" s="372" t="s">
        <v>454</v>
      </c>
      <c r="G31" s="372"/>
      <c r="H31" s="372"/>
      <c r="I31" s="372"/>
      <c r="J31" s="372"/>
      <c r="K31" s="201"/>
      <c r="L31" s="201"/>
      <c r="M31" s="201"/>
      <c r="N31" s="330"/>
    </row>
    <row r="32" spans="1:14">
      <c r="A32" s="201"/>
      <c r="B32" s="201"/>
      <c r="C32" s="210" t="s">
        <v>462</v>
      </c>
      <c r="D32" s="239" t="s">
        <v>505</v>
      </c>
      <c r="E32" s="201"/>
      <c r="F32" s="201"/>
      <c r="G32" s="201"/>
      <c r="H32" s="201"/>
      <c r="I32" s="201"/>
      <c r="J32" s="201"/>
      <c r="K32" s="201"/>
      <c r="L32" s="201"/>
      <c r="M32" s="201"/>
      <c r="N32" s="330"/>
    </row>
    <row r="33" spans="1:15">
      <c r="A33" s="201"/>
      <c r="B33" s="201"/>
      <c r="C33" s="210" t="s">
        <v>465</v>
      </c>
      <c r="D33" s="213">
        <v>2022</v>
      </c>
      <c r="E33" s="201"/>
      <c r="F33" s="201"/>
      <c r="G33" s="201"/>
      <c r="H33" s="201"/>
      <c r="I33" s="201"/>
      <c r="J33" s="201"/>
      <c r="K33" s="201"/>
      <c r="L33" s="201"/>
      <c r="M33" s="201"/>
      <c r="N33" s="330"/>
    </row>
    <row r="34" spans="1:15">
      <c r="A34" s="201"/>
      <c r="B34" s="201"/>
      <c r="C34" s="210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330"/>
    </row>
    <row r="35" spans="1:15">
      <c r="A35" s="201"/>
      <c r="B35" s="201"/>
      <c r="C35" s="210" t="s">
        <v>466</v>
      </c>
      <c r="D35" s="237" t="str">
        <f>TEXT(Calculation!B127,"mmmm yyyy") &amp;" to " &amp; TEXT(Calculation!B138,"mmmm yyyy")&amp;"*"</f>
        <v>April 2022 to March 2023*</v>
      </c>
      <c r="E35" s="201"/>
      <c r="F35" s="201"/>
      <c r="G35" s="201"/>
      <c r="H35" s="201"/>
      <c r="I35" s="201"/>
      <c r="J35" s="201"/>
      <c r="K35" s="201"/>
      <c r="L35" s="201"/>
      <c r="M35" s="201"/>
      <c r="N35" s="330"/>
    </row>
    <row r="36" spans="1:15">
      <c r="A36" s="201"/>
      <c r="B36" s="201"/>
      <c r="C36" s="201"/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330"/>
    </row>
    <row r="37" spans="1:15">
      <c r="A37" s="201"/>
      <c r="B37" s="201"/>
      <c r="C37" s="201"/>
      <c r="D37" s="369" t="s">
        <v>12</v>
      </c>
      <c r="E37" s="369"/>
      <c r="F37" s="369"/>
      <c r="G37" s="369"/>
      <c r="H37" s="369"/>
      <c r="I37" s="201"/>
      <c r="J37" s="201"/>
      <c r="K37" s="201"/>
      <c r="L37" s="201"/>
      <c r="M37" s="201"/>
      <c r="N37" s="330"/>
    </row>
    <row r="38" spans="1:15">
      <c r="A38" s="201"/>
      <c r="B38" s="201"/>
      <c r="C38" s="201"/>
      <c r="D38" s="210"/>
      <c r="E38" s="369" t="s">
        <v>461</v>
      </c>
      <c r="F38" s="369"/>
      <c r="G38" s="247" t="s">
        <v>475</v>
      </c>
      <c r="H38" s="247" t="s">
        <v>476</v>
      </c>
      <c r="I38" s="201"/>
      <c r="J38" s="201"/>
      <c r="K38" s="369" t="s">
        <v>11</v>
      </c>
      <c r="L38" s="369"/>
      <c r="M38" s="201"/>
      <c r="N38" s="330"/>
    </row>
    <row r="39" spans="1:15" ht="29.25" customHeight="1">
      <c r="A39" s="201"/>
      <c r="B39" s="201"/>
      <c r="C39" s="201"/>
      <c r="D39" s="249" t="s">
        <v>457</v>
      </c>
      <c r="E39" s="248" t="s">
        <v>455</v>
      </c>
      <c r="F39" s="248" t="s">
        <v>456</v>
      </c>
      <c r="G39" s="248" t="s">
        <v>461</v>
      </c>
      <c r="H39" s="234" t="s">
        <v>477</v>
      </c>
      <c r="I39" s="201"/>
      <c r="J39" s="201"/>
      <c r="K39" s="208" t="s">
        <v>459</v>
      </c>
      <c r="L39" s="208" t="s">
        <v>1</v>
      </c>
      <c r="M39" s="201"/>
      <c r="N39" s="330"/>
      <c r="O39" s="290"/>
    </row>
    <row r="40" spans="1:15">
      <c r="A40" s="201"/>
      <c r="B40" s="201"/>
      <c r="C40" s="233" t="s">
        <v>460</v>
      </c>
      <c r="D40" s="235" t="str">
        <f>F14</f>
        <v>kWh</v>
      </c>
      <c r="E40" s="235" t="s">
        <v>0</v>
      </c>
      <c r="F40" s="235" t="s">
        <v>0</v>
      </c>
      <c r="G40" s="235" t="s">
        <v>458</v>
      </c>
      <c r="H40" s="235" t="s">
        <v>458</v>
      </c>
      <c r="I40" s="201"/>
      <c r="J40" s="201"/>
      <c r="K40" s="208" t="str">
        <f>F17</f>
        <v>Mcf</v>
      </c>
      <c r="L40" s="208" t="s">
        <v>458</v>
      </c>
      <c r="M40" s="201"/>
      <c r="N40" s="330"/>
    </row>
    <row r="41" spans="1:15">
      <c r="A41" s="201"/>
      <c r="B41" s="201"/>
      <c r="C41" s="233" t="str">
        <f>Calculation!C127</f>
        <v>April</v>
      </c>
      <c r="D41" s="238">
        <v>161785.03949999998</v>
      </c>
      <c r="E41" s="238">
        <v>775.0575</v>
      </c>
      <c r="F41" s="238">
        <v>775.0575</v>
      </c>
      <c r="G41" s="250">
        <v>0</v>
      </c>
      <c r="H41" s="289">
        <v>14932.971084251743</v>
      </c>
      <c r="I41" s="201"/>
      <c r="J41" s="201"/>
      <c r="K41" s="315">
        <v>120</v>
      </c>
      <c r="L41" s="329">
        <v>3359.3175000000006</v>
      </c>
      <c r="M41" s="201"/>
      <c r="N41" s="330"/>
    </row>
    <row r="42" spans="1:15">
      <c r="A42" s="201"/>
      <c r="B42" s="201"/>
      <c r="C42" s="233" t="str">
        <f>Calculation!C128</f>
        <v>May</v>
      </c>
      <c r="D42" s="238">
        <v>171885.317625</v>
      </c>
      <c r="E42" s="238">
        <v>854.4375</v>
      </c>
      <c r="F42" s="238">
        <v>854.4375</v>
      </c>
      <c r="G42" s="215">
        <v>0</v>
      </c>
      <c r="H42" s="289">
        <v>16586.575629351839</v>
      </c>
      <c r="I42" s="201"/>
      <c r="J42" s="201"/>
      <c r="K42" s="315">
        <v>308.7</v>
      </c>
      <c r="L42" s="329">
        <v>1543.5</v>
      </c>
      <c r="M42" s="201"/>
      <c r="N42" s="330"/>
    </row>
    <row r="43" spans="1:15">
      <c r="A43" s="201"/>
      <c r="B43" s="201"/>
      <c r="C43" s="233" t="str">
        <f>Calculation!C129</f>
        <v>June</v>
      </c>
      <c r="D43" s="238">
        <v>137826.83249999999</v>
      </c>
      <c r="E43" s="238">
        <v>561.17250000000001</v>
      </c>
      <c r="F43" s="238">
        <v>561.17250000000001</v>
      </c>
      <c r="G43" s="215">
        <v>0</v>
      </c>
      <c r="H43" s="289">
        <v>14470.858137745798</v>
      </c>
      <c r="I43" s="201"/>
      <c r="J43" s="201"/>
      <c r="K43" s="315">
        <v>181.65</v>
      </c>
      <c r="L43" s="329">
        <v>1155.42</v>
      </c>
      <c r="M43" s="201"/>
    </row>
    <row r="44" spans="1:15">
      <c r="A44" s="201"/>
      <c r="B44" s="201"/>
      <c r="C44" s="233" t="str">
        <f>Calculation!C130</f>
        <v>July</v>
      </c>
      <c r="D44" s="238">
        <v>192202.79399999999</v>
      </c>
      <c r="E44" s="238">
        <v>751.90499999999997</v>
      </c>
      <c r="F44" s="238">
        <v>751.90499999999997</v>
      </c>
      <c r="G44" s="215">
        <v>0</v>
      </c>
      <c r="H44" s="289">
        <v>19562.825141494741</v>
      </c>
      <c r="I44" s="201"/>
      <c r="J44" s="201"/>
      <c r="K44" s="315">
        <v>55.65</v>
      </c>
      <c r="L44" s="329">
        <v>753.00750000000005</v>
      </c>
      <c r="M44" s="201"/>
    </row>
    <row r="45" spans="1:15">
      <c r="A45" s="201"/>
      <c r="B45" s="201"/>
      <c r="C45" s="233" t="str">
        <f>Calculation!C131</f>
        <v>August</v>
      </c>
      <c r="D45" s="238">
        <v>229316.25149999998</v>
      </c>
      <c r="E45" s="238">
        <v>3267.81</v>
      </c>
      <c r="F45" s="238">
        <v>3267.81</v>
      </c>
      <c r="G45" s="215">
        <v>0</v>
      </c>
      <c r="H45" s="289">
        <v>22762.302616217428</v>
      </c>
      <c r="I45" s="201"/>
      <c r="J45" s="201"/>
      <c r="K45" s="315">
        <v>84</v>
      </c>
      <c r="L45" s="329">
        <v>864.36000000000013</v>
      </c>
      <c r="M45" s="201"/>
    </row>
    <row r="46" spans="1:15">
      <c r="A46" s="201"/>
      <c r="B46" s="201"/>
      <c r="C46" s="233" t="str">
        <f>Calculation!C132</f>
        <v>September</v>
      </c>
      <c r="D46" s="238">
        <v>342687.09824999998</v>
      </c>
      <c r="E46" s="238">
        <v>1160.9325000000001</v>
      </c>
      <c r="F46" s="238">
        <v>1160.9325000000001</v>
      </c>
      <c r="G46" s="215">
        <v>0</v>
      </c>
      <c r="H46" s="289">
        <v>34684.337872112512</v>
      </c>
      <c r="I46" s="201"/>
      <c r="J46" s="201"/>
      <c r="K46" s="315">
        <v>122.85</v>
      </c>
      <c r="L46" s="329">
        <v>1052.8874999999998</v>
      </c>
      <c r="M46" s="201"/>
    </row>
    <row r="47" spans="1:15">
      <c r="A47" s="201"/>
      <c r="B47" s="201"/>
      <c r="C47" s="233" t="str">
        <f>Calculation!C133</f>
        <v>October</v>
      </c>
      <c r="D47" s="238">
        <v>240032.38612500002</v>
      </c>
      <c r="E47" s="238">
        <v>764.03250000000003</v>
      </c>
      <c r="F47" s="238">
        <v>764.03250000000003</v>
      </c>
      <c r="G47" s="215">
        <v>0</v>
      </c>
      <c r="H47" s="289">
        <v>25339.249272376306</v>
      </c>
      <c r="I47" s="201"/>
      <c r="J47" s="201"/>
      <c r="K47" s="315">
        <v>174.3</v>
      </c>
      <c r="L47" s="329">
        <v>1246.9275</v>
      </c>
      <c r="M47" s="201"/>
    </row>
    <row r="48" spans="1:15">
      <c r="A48" s="201"/>
      <c r="B48" s="201"/>
      <c r="C48" s="233" t="str">
        <f>Calculation!C134</f>
        <v>November</v>
      </c>
      <c r="D48" s="238">
        <v>195765.96375</v>
      </c>
      <c r="E48" s="238">
        <v>845.61750000000006</v>
      </c>
      <c r="F48" s="238">
        <v>845.61750000000006</v>
      </c>
      <c r="G48" s="215">
        <v>0</v>
      </c>
      <c r="H48" s="289">
        <v>22037.112212946075</v>
      </c>
      <c r="I48" s="201"/>
      <c r="J48" s="201"/>
      <c r="K48" s="315">
        <v>136.5</v>
      </c>
      <c r="L48" s="329">
        <v>1220.4675</v>
      </c>
      <c r="M48" s="201"/>
    </row>
    <row r="49" spans="1:13">
      <c r="A49" s="201"/>
      <c r="B49" s="201"/>
      <c r="C49" s="233" t="str">
        <f>Calculation!C135</f>
        <v>December</v>
      </c>
      <c r="D49" s="238">
        <v>240545.21399999998</v>
      </c>
      <c r="E49" s="238">
        <v>858.84750000000008</v>
      </c>
      <c r="F49" s="238">
        <v>858.84750000000008</v>
      </c>
      <c r="G49" s="215">
        <v>0</v>
      </c>
      <c r="H49" s="289">
        <v>26474.882532363717</v>
      </c>
      <c r="I49" s="201"/>
      <c r="J49" s="201"/>
      <c r="K49" s="315">
        <v>790.65</v>
      </c>
      <c r="L49" s="329">
        <v>2870.91</v>
      </c>
      <c r="M49" s="201"/>
    </row>
    <row r="50" spans="1:13">
      <c r="A50" s="201"/>
      <c r="B50" s="201"/>
      <c r="C50" s="233" t="str">
        <f>Calculation!C136</f>
        <v>January</v>
      </c>
      <c r="D50" s="238">
        <v>282276.43762500002</v>
      </c>
      <c r="E50" s="238">
        <v>761.82749999999999</v>
      </c>
      <c r="F50" s="238">
        <v>761.82749999999999</v>
      </c>
      <c r="G50" s="215">
        <v>0</v>
      </c>
      <c r="H50" s="289">
        <v>30379.075732675217</v>
      </c>
      <c r="I50" s="201"/>
      <c r="J50" s="201"/>
      <c r="K50" s="315">
        <v>841.05</v>
      </c>
      <c r="L50" s="329">
        <v>3759.5249999999996</v>
      </c>
      <c r="M50" s="201"/>
    </row>
    <row r="51" spans="1:13">
      <c r="A51" s="201"/>
      <c r="B51" s="201"/>
      <c r="C51" s="233" t="str">
        <f>Calculation!C137</f>
        <v>February</v>
      </c>
      <c r="D51" s="238">
        <v>243507.57637499998</v>
      </c>
      <c r="E51" s="238">
        <v>906.255</v>
      </c>
      <c r="F51" s="238">
        <v>906.255</v>
      </c>
      <c r="G51" s="215">
        <v>0</v>
      </c>
      <c r="H51" s="289">
        <v>23104.361672748797</v>
      </c>
      <c r="I51" s="201"/>
      <c r="J51" s="201"/>
      <c r="K51" s="315">
        <v>858.9</v>
      </c>
      <c r="L51" s="329">
        <v>4594.1174999999994</v>
      </c>
      <c r="M51" s="201"/>
    </row>
    <row r="52" spans="1:13">
      <c r="A52" s="201"/>
      <c r="B52" s="201"/>
      <c r="C52" s="233" t="str">
        <f>Calculation!C138</f>
        <v>March</v>
      </c>
      <c r="D52" s="238">
        <v>278232.85349999997</v>
      </c>
      <c r="E52" s="238">
        <v>930.51</v>
      </c>
      <c r="F52" s="238">
        <v>930.51</v>
      </c>
      <c r="G52" s="215">
        <v>0</v>
      </c>
      <c r="H52" s="289">
        <v>25280.050652998154</v>
      </c>
      <c r="I52" s="201"/>
      <c r="J52" s="201"/>
      <c r="K52" s="315">
        <v>1027.95</v>
      </c>
      <c r="L52" s="329">
        <v>3618.4049999999997</v>
      </c>
      <c r="M52" s="201"/>
    </row>
    <row r="53" spans="1:13">
      <c r="A53" s="201"/>
      <c r="B53" s="201"/>
      <c r="C53" s="233" t="s">
        <v>34</v>
      </c>
      <c r="D53" s="303">
        <f>SUM(D41:D52)</f>
        <v>2716063.7647500001</v>
      </c>
      <c r="E53" s="210" t="str">
        <f>D40</f>
        <v>kWh</v>
      </c>
      <c r="F53" s="201"/>
      <c r="G53" s="251">
        <f>SUM(G41:G52)</f>
        <v>0</v>
      </c>
      <c r="H53" s="251">
        <f>SUM(H41:H52)</f>
        <v>275614.60255728231</v>
      </c>
      <c r="I53" s="201"/>
      <c r="J53" s="210" t="s">
        <v>34</v>
      </c>
      <c r="K53" s="326">
        <f>SUM(K41:K52)</f>
        <v>4702.2000000000007</v>
      </c>
      <c r="L53" s="254">
        <f>SUM(L41:L52)</f>
        <v>26038.845000000001</v>
      </c>
      <c r="M53" s="201"/>
    </row>
    <row r="54" spans="1:13">
      <c r="A54" s="201"/>
      <c r="B54" s="201"/>
      <c r="C54" s="201"/>
      <c r="D54" s="201"/>
      <c r="E54" s="201"/>
      <c r="F54" s="201"/>
      <c r="G54" s="201"/>
      <c r="H54" s="201"/>
      <c r="I54" s="201"/>
      <c r="J54" s="201"/>
      <c r="K54" s="201"/>
      <c r="L54" s="201"/>
      <c r="M54" s="201"/>
    </row>
    <row r="55" spans="1:13">
      <c r="A55" s="201"/>
      <c r="B55" s="201"/>
      <c r="C55" s="201"/>
      <c r="D55" s="201"/>
      <c r="E55" s="201"/>
      <c r="F55" s="201"/>
      <c r="G55" s="201"/>
      <c r="H55" s="201"/>
      <c r="I55" s="201"/>
      <c r="J55" s="201"/>
      <c r="K55" s="201"/>
      <c r="L55" s="201"/>
      <c r="M55" s="201"/>
    </row>
    <row r="56" spans="1:13">
      <c r="A56" s="201"/>
      <c r="B56" s="201"/>
      <c r="C56" s="368" t="s">
        <v>478</v>
      </c>
      <c r="D56" s="368"/>
      <c r="E56" s="253">
        <f>H53/D53</f>
        <v>0.10147574815227184</v>
      </c>
      <c r="F56" s="210" t="s">
        <v>479</v>
      </c>
      <c r="G56" s="201"/>
      <c r="H56" s="201"/>
      <c r="I56" s="201"/>
      <c r="J56" s="201"/>
      <c r="K56" s="201"/>
      <c r="L56" s="201"/>
      <c r="M56" s="201"/>
    </row>
    <row r="57" spans="1:13">
      <c r="A57" s="201"/>
      <c r="B57" s="201"/>
      <c r="C57" s="201"/>
      <c r="D57" s="201"/>
      <c r="E57" s="201"/>
      <c r="F57" s="201"/>
      <c r="G57" s="201"/>
      <c r="H57" s="201"/>
      <c r="I57" s="201"/>
      <c r="J57" s="201"/>
      <c r="K57" s="201"/>
      <c r="L57" s="201"/>
      <c r="M57" s="201"/>
    </row>
    <row r="58" spans="1:13">
      <c r="A58" s="201"/>
      <c r="B58" s="201"/>
      <c r="C58" s="368" t="s">
        <v>480</v>
      </c>
      <c r="D58" s="368"/>
      <c r="E58" s="253">
        <f>L53/(SUM(K41:K52))</f>
        <v>5.5375877248947294</v>
      </c>
      <c r="F58" s="201"/>
      <c r="G58" s="201"/>
      <c r="H58" s="201"/>
      <c r="I58" s="201"/>
      <c r="J58" s="201"/>
      <c r="K58" s="201"/>
      <c r="L58" s="201"/>
      <c r="M58" s="201"/>
    </row>
    <row r="59" spans="1:13">
      <c r="A59" s="201"/>
      <c r="B59" s="201"/>
      <c r="C59" s="201"/>
      <c r="D59" s="201"/>
      <c r="E59" s="201"/>
      <c r="F59" s="201"/>
      <c r="G59" s="201"/>
      <c r="H59" s="201"/>
      <c r="I59" s="201"/>
      <c r="J59" s="201"/>
      <c r="K59" s="201"/>
      <c r="L59" s="201"/>
      <c r="M59" s="201"/>
    </row>
    <row r="60" spans="1:13">
      <c r="A60" s="201"/>
      <c r="B60" s="201"/>
      <c r="C60" s="201"/>
      <c r="D60" s="201"/>
      <c r="E60" s="201"/>
      <c r="F60" s="201"/>
      <c r="G60" s="201"/>
      <c r="H60" s="201"/>
      <c r="I60" s="201"/>
      <c r="J60" s="201"/>
      <c r="K60" s="201"/>
      <c r="L60" s="201"/>
      <c r="M60" s="201"/>
    </row>
    <row r="61" spans="1:13">
      <c r="A61" s="201"/>
      <c r="B61" s="201"/>
      <c r="C61" s="201" t="s">
        <v>500</v>
      </c>
      <c r="D61" s="201"/>
      <c r="E61" s="201"/>
      <c r="F61" s="201"/>
      <c r="G61" s="201"/>
      <c r="H61" s="201"/>
      <c r="I61" s="201"/>
      <c r="J61" s="201"/>
      <c r="K61" s="201"/>
      <c r="L61" s="201"/>
      <c r="M61" s="201"/>
    </row>
    <row r="62" spans="1:13">
      <c r="A62" s="201"/>
      <c r="B62" s="201"/>
      <c r="C62" s="201"/>
      <c r="D62" s="201"/>
      <c r="E62" s="201"/>
      <c r="F62" s="201"/>
      <c r="G62" s="201"/>
      <c r="H62" s="201"/>
      <c r="I62" s="201"/>
      <c r="J62" s="201"/>
      <c r="K62" s="201"/>
      <c r="L62" s="201"/>
      <c r="M62" s="201"/>
    </row>
    <row r="63" spans="1:13">
      <c r="A63" s="201"/>
      <c r="B63" s="201"/>
      <c r="C63" s="201"/>
      <c r="D63" s="201"/>
      <c r="E63" s="201"/>
      <c r="F63" s="201"/>
      <c r="G63" s="201"/>
      <c r="H63" s="201"/>
      <c r="I63" s="201"/>
      <c r="J63" s="201"/>
      <c r="K63" s="201"/>
      <c r="L63" s="201"/>
      <c r="M63" s="201"/>
    </row>
    <row r="64" spans="1:13">
      <c r="A64" s="201"/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</row>
    <row r="65" spans="1:13">
      <c r="A65" s="201"/>
      <c r="B65" s="201"/>
      <c r="C65" s="201"/>
      <c r="D65" s="201"/>
      <c r="E65" s="201"/>
      <c r="F65" s="201"/>
      <c r="G65" s="201"/>
      <c r="H65" s="201"/>
      <c r="I65" s="201"/>
      <c r="J65" s="201"/>
      <c r="K65" s="201"/>
      <c r="L65" s="201"/>
      <c r="M65" s="201"/>
    </row>
  </sheetData>
  <mergeCells count="26">
    <mergeCell ref="J11:K11"/>
    <mergeCell ref="D4:E4"/>
    <mergeCell ref="D6:F7"/>
    <mergeCell ref="L4:M4"/>
    <mergeCell ref="C6:C7"/>
    <mergeCell ref="K38:L38"/>
    <mergeCell ref="F31:J31"/>
    <mergeCell ref="A14:A21"/>
    <mergeCell ref="B20:D20"/>
    <mergeCell ref="B21:D21"/>
    <mergeCell ref="C14:D14"/>
    <mergeCell ref="C15:D15"/>
    <mergeCell ref="C16:D16"/>
    <mergeCell ref="C17:D17"/>
    <mergeCell ref="B14:B16"/>
    <mergeCell ref="C18:D18"/>
    <mergeCell ref="B22:D22"/>
    <mergeCell ref="K24:L24"/>
    <mergeCell ref="C19:D19"/>
    <mergeCell ref="B17:B19"/>
    <mergeCell ref="D3:E3"/>
    <mergeCell ref="C56:D56"/>
    <mergeCell ref="C58:D58"/>
    <mergeCell ref="E38:F38"/>
    <mergeCell ref="D37:H37"/>
    <mergeCell ref="C13:D13"/>
  </mergeCells>
  <phoneticPr fontId="48" type="noConversion"/>
  <dataValidations count="4">
    <dataValidation showInputMessage="1" showErrorMessage="1" promptTitle="INPUT ENRGY CONSUPTION" sqref="G17:I17" xr:uid="{30542F4A-C29E-424F-97E9-5BBC45B3AE79}"/>
    <dataValidation type="list" showInputMessage="1" showErrorMessage="1" sqref="D33" xr:uid="{207D8ED8-E5C7-4671-A5E5-2E5578017CD0}">
      <formula1>"2000,2001,2002,2003,2004,2005,2006,2007,2008,2009,2010,2011,2012,2013,2014,2015,2016,2017,2018,2019,2020,2021,2022,2023,2024"</formula1>
    </dataValidation>
    <dataValidation type="list" allowBlank="1" showInputMessage="1" showErrorMessage="1" sqref="D32" xr:uid="{36A2D885-39ED-48B2-B21C-33030C8B5C3C}">
      <formula1>"January, February,March,April,May,June,July,August,September,October,November,December"</formula1>
    </dataValidation>
    <dataValidation showInputMessage="1" showErrorMessage="1" sqref="D34:D35" xr:uid="{BDF6E05F-5390-4EC2-B859-194312E9BD8B}"/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Option Button 17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Option Button 18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6" name="Option Button 20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7" name="Option Button 21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8" name="Option Button 23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9" name="Option Button 24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0" name="Option Button 26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1" name="Option Button 27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12" name="Option Button 29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13" name="Option Button 30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14" name="Option Button 32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15" name="Option Button 33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16" name="Option Button 35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17" name="Option Button 36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8" name="Option Button 38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9" name="Option Button 39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20" name="Option Button 43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21" name="Option Button 44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22" name="Option Button 46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23" name="Option Button 47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24" name="Option Button 49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25" name="Option Button 50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6" name="Option Button 52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7" name="Option Button 53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28" name="Option Button 59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29" name="Option Button 60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30" name="Option Button 63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31" name="Option Button 64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32" name="Option Button 66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33" name="Option Button 67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34" name="Option Button 69">
              <controlPr defaultSize="0" autoFill="0" autoLine="0" autoPict="0">
                <anchor moveWithCells="1">
                  <from>
                    <xdr:col>9</xdr:col>
                    <xdr:colOff>0</xdr:colOff>
                    <xdr:row>118</xdr:row>
                    <xdr:rowOff>31750</xdr:rowOff>
                  </from>
                  <to>
                    <xdr:col>10</xdr:col>
                    <xdr:colOff>127000</xdr:colOff>
                    <xdr:row>119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35" name="Option Button 70">
              <controlPr defaultSize="0" autoFill="0" autoLine="0" autoPict="0">
                <anchor moveWithCells="1">
                  <from>
                    <xdr:col>9</xdr:col>
                    <xdr:colOff>177800</xdr:colOff>
                    <xdr:row>118</xdr:row>
                    <xdr:rowOff>31750</xdr:rowOff>
                  </from>
                  <to>
                    <xdr:col>10</xdr:col>
                    <xdr:colOff>266700</xdr:colOff>
                    <xdr:row>119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36" name="Option Button 78">
              <controlPr defaultSize="0" autoFill="0" autoLine="0" autoPict="0">
                <anchor moveWithCells="1">
                  <from>
                    <xdr:col>11</xdr:col>
                    <xdr:colOff>127000</xdr:colOff>
                    <xdr:row>123</xdr:row>
                    <xdr:rowOff>177800</xdr:rowOff>
                  </from>
                  <to>
                    <xdr:col>11</xdr:col>
                    <xdr:colOff>825500</xdr:colOff>
                    <xdr:row>125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37" name="Option Button 79">
              <controlPr defaultSize="0" autoFill="0" autoLine="0" autoPict="0">
                <anchor moveWithCells="1">
                  <from>
                    <xdr:col>9</xdr:col>
                    <xdr:colOff>152400</xdr:colOff>
                    <xdr:row>123</xdr:row>
                    <xdr:rowOff>165100</xdr:rowOff>
                  </from>
                  <to>
                    <xdr:col>10</xdr:col>
                    <xdr:colOff>254000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38" name="Option Button 81">
              <controlPr defaultSize="0" autoFill="0" autoLine="0" autoPict="0">
                <anchor moveWithCells="1">
                  <from>
                    <xdr:col>11</xdr:col>
                    <xdr:colOff>127000</xdr:colOff>
                    <xdr:row>123</xdr:row>
                    <xdr:rowOff>177800</xdr:rowOff>
                  </from>
                  <to>
                    <xdr:col>11</xdr:col>
                    <xdr:colOff>825500</xdr:colOff>
                    <xdr:row>125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39" name="Option Button 82">
              <controlPr defaultSize="0" autoFill="0" autoLine="0" autoPict="0">
                <anchor moveWithCells="1">
                  <from>
                    <xdr:col>9</xdr:col>
                    <xdr:colOff>152400</xdr:colOff>
                    <xdr:row>123</xdr:row>
                    <xdr:rowOff>165100</xdr:rowOff>
                  </from>
                  <to>
                    <xdr:col>10</xdr:col>
                    <xdr:colOff>254000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40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22</xdr:row>
                    <xdr:rowOff>31750</xdr:rowOff>
                  </from>
                  <to>
                    <xdr:col>6</xdr:col>
                    <xdr:colOff>184150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41" name="Option Button 85">
              <controlPr defaultSize="0" autoFill="0" autoLine="0" autoPict="0">
                <anchor moveWithCells="1">
                  <from>
                    <xdr:col>4</xdr:col>
                    <xdr:colOff>63500</xdr:colOff>
                    <xdr:row>22</xdr:row>
                    <xdr:rowOff>25400</xdr:rowOff>
                  </from>
                  <to>
                    <xdr:col>5</xdr:col>
                    <xdr:colOff>31750</xdr:colOff>
                    <xdr:row>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42" name="Option Button 86">
              <controlPr defaultSize="0" autoFill="0" autoLine="0" autoPict="0">
                <anchor moveWithCells="1">
                  <from>
                    <xdr:col>11</xdr:col>
                    <xdr:colOff>127000</xdr:colOff>
                    <xdr:row>123</xdr:row>
                    <xdr:rowOff>177800</xdr:rowOff>
                  </from>
                  <to>
                    <xdr:col>11</xdr:col>
                    <xdr:colOff>825500</xdr:colOff>
                    <xdr:row>125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3" name="Option Button 87">
              <controlPr defaultSize="0" autoFill="0" autoLine="0" autoPict="0">
                <anchor moveWithCells="1">
                  <from>
                    <xdr:col>9</xdr:col>
                    <xdr:colOff>152400</xdr:colOff>
                    <xdr:row>123</xdr:row>
                    <xdr:rowOff>165100</xdr:rowOff>
                  </from>
                  <to>
                    <xdr:col>10</xdr:col>
                    <xdr:colOff>254000</xdr:colOff>
                    <xdr:row>125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Select State" error="Please select state province_x000a_" promptTitle="Select State/Province" prompt="Please select State/Province_x000a_" xr:uid="{F85F5941-4613-47A3-B6B8-746ADEDB210F}">
          <x14:formula1>
            <xm:f>Refference!$F$2:$F$58</xm:f>
          </x14:formula1>
          <xm:sqref>D9</xm:sqref>
        </x14:dataValidation>
        <x14:dataValidation type="list" showInputMessage="1" showErrorMessage="1" promptTitle="Select Building Type" prompt="Please select the building type" xr:uid="{4987719E-DB29-4BF7-82E3-BF53FC610FEA}">
          <x14:formula1>
            <xm:f>Refference!$A$2:$A$21</xm:f>
          </x14:formula1>
          <xm:sqref>L4</xm:sqref>
        </x14:dataValidation>
        <x14:dataValidation type="list" allowBlank="1" showInputMessage="1" showErrorMessage="1" xr:uid="{17AF0C24-A80F-4BAE-BD47-8CE6FFFB4278}">
          <x14:formula1>
            <xm:f>Refference!$X$4:$X$8</xm:f>
          </x14:formula1>
          <xm:sqref>F14</xm:sqref>
        </x14:dataValidation>
        <x14:dataValidation type="list" showInputMessage="1" showErrorMessage="1" promptTitle="INPUT ENRGY CONSUPTION" xr:uid="{80C0D8CC-22BD-4BB6-A62E-020A97567120}">
          <x14:formula1>
            <xm:f>Refference!$X$9:$X$17</xm:f>
          </x14:formula1>
          <xm:sqref>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CEE93-7237-4D01-BEC8-BEEDA3B0D3C9}">
  <sheetPr codeName="Sheet2"/>
  <dimension ref="A2:AL228"/>
  <sheetViews>
    <sheetView topLeftCell="E45" workbookViewId="0">
      <selection activeCell="N23" sqref="N23"/>
    </sheetView>
  </sheetViews>
  <sheetFormatPr defaultColWidth="9.1796875" defaultRowHeight="13"/>
  <cols>
    <col min="1" max="1" width="16.54296875" style="1" customWidth="1"/>
    <col min="2" max="2" width="17.453125" style="1" customWidth="1"/>
    <col min="3" max="3" width="15.81640625" style="1" customWidth="1"/>
    <col min="4" max="4" width="15.1796875" style="1" customWidth="1"/>
    <col min="5" max="5" width="15" style="1" customWidth="1"/>
    <col min="6" max="7" width="17.81640625" style="1" customWidth="1"/>
    <col min="8" max="16" width="22.453125" style="1" customWidth="1"/>
    <col min="17" max="17" width="10.81640625" style="1" customWidth="1"/>
    <col min="18" max="18" width="13.54296875" style="1" customWidth="1"/>
    <col min="19" max="19" width="10.54296875" style="1" customWidth="1"/>
    <col min="20" max="20" width="18.54296875" style="1" customWidth="1"/>
    <col min="21" max="21" width="12.81640625" style="1" customWidth="1"/>
    <col min="22" max="22" width="12.1796875" style="1" customWidth="1"/>
    <col min="23" max="23" width="11.1796875" style="1" customWidth="1"/>
    <col min="24" max="25" width="10.81640625" style="1" customWidth="1"/>
    <col min="26" max="26" width="12.81640625" style="1" bestFit="1" customWidth="1"/>
    <col min="27" max="31" width="14.81640625" style="1" customWidth="1"/>
    <col min="32" max="32" width="11.36328125" style="1" customWidth="1"/>
    <col min="33" max="33" width="10.453125" style="1" customWidth="1"/>
    <col min="34" max="34" width="9.81640625" style="1" customWidth="1"/>
    <col min="35" max="36" width="9.1796875" style="1"/>
    <col min="37" max="37" width="11.453125" style="1" customWidth="1"/>
    <col min="38" max="38" width="10.54296875" style="1" customWidth="1"/>
    <col min="39" max="16384" width="9.1796875" style="1"/>
  </cols>
  <sheetData>
    <row r="2" spans="1:38">
      <c r="A2" s="34" t="s">
        <v>105</v>
      </c>
      <c r="B2" s="1" t="s">
        <v>104</v>
      </c>
    </row>
    <row r="3" spans="1:38">
      <c r="A3" s="34" t="s">
        <v>103</v>
      </c>
      <c r="B3" s="1">
        <f>Form!D4</f>
        <v>0</v>
      </c>
      <c r="T3" s="1" t="s">
        <v>102</v>
      </c>
      <c r="Z3" s="40" t="s">
        <v>101</v>
      </c>
      <c r="AA3" s="1" t="s">
        <v>100</v>
      </c>
    </row>
    <row r="4" spans="1:38">
      <c r="A4" s="432"/>
      <c r="B4" s="433"/>
      <c r="C4" s="438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40"/>
      <c r="AA4" s="423" t="s">
        <v>99</v>
      </c>
      <c r="AB4" s="424"/>
      <c r="AC4" s="424"/>
      <c r="AD4" s="424"/>
      <c r="AE4" s="424"/>
      <c r="AF4" s="425"/>
      <c r="AG4" s="423" t="s">
        <v>472</v>
      </c>
      <c r="AH4" s="424"/>
      <c r="AI4" s="424"/>
      <c r="AJ4" s="425"/>
    </row>
    <row r="5" spans="1:38" ht="26">
      <c r="A5" s="434"/>
      <c r="B5" s="435"/>
      <c r="C5" s="27"/>
      <c r="D5" s="33"/>
      <c r="E5" s="33"/>
      <c r="F5" s="33"/>
      <c r="G5" s="33"/>
      <c r="H5" s="33"/>
      <c r="I5" s="33"/>
      <c r="J5" s="33"/>
      <c r="K5" s="33"/>
      <c r="L5" s="33"/>
      <c r="M5" s="429"/>
      <c r="N5" s="430"/>
      <c r="O5" s="430"/>
      <c r="P5" s="431"/>
      <c r="Q5" s="33"/>
      <c r="R5" s="395" t="s">
        <v>98</v>
      </c>
      <c r="S5" s="426"/>
      <c r="T5" s="426"/>
      <c r="U5" s="426"/>
      <c r="V5" s="426"/>
      <c r="W5" s="426"/>
      <c r="X5" s="396"/>
      <c r="Y5" s="31" t="s">
        <v>97</v>
      </c>
      <c r="Z5" s="31" t="s">
        <v>97</v>
      </c>
      <c r="AA5" s="31" t="s">
        <v>96</v>
      </c>
      <c r="AB5" s="31" t="s">
        <v>96</v>
      </c>
      <c r="AC5" s="31" t="s">
        <v>96</v>
      </c>
      <c r="AD5" s="31" t="s">
        <v>468</v>
      </c>
      <c r="AE5" s="31" t="s">
        <v>5</v>
      </c>
      <c r="AF5" s="27"/>
      <c r="AG5" s="31" t="s">
        <v>503</v>
      </c>
      <c r="AH5" s="31" t="s">
        <v>504</v>
      </c>
      <c r="AI5" s="31" t="s">
        <v>213</v>
      </c>
      <c r="AJ5" s="27"/>
      <c r="AK5" s="395" t="s">
        <v>467</v>
      </c>
      <c r="AL5" s="396"/>
    </row>
    <row r="6" spans="1:38" ht="39">
      <c r="A6" s="436"/>
      <c r="B6" s="437"/>
      <c r="C6" s="31" t="s">
        <v>214</v>
      </c>
      <c r="D6" s="31" t="str">
        <f>C6</f>
        <v>Electrical CONSUMPTION</v>
      </c>
      <c r="E6" s="31" t="s">
        <v>200</v>
      </c>
      <c r="F6" s="31" t="s">
        <v>201</v>
      </c>
      <c r="G6" s="31" t="s">
        <v>202</v>
      </c>
      <c r="H6" s="31" t="s">
        <v>109</v>
      </c>
      <c r="I6" s="31" t="s">
        <v>469</v>
      </c>
      <c r="J6" s="31" t="s">
        <v>470</v>
      </c>
      <c r="K6" s="31" t="s">
        <v>8</v>
      </c>
      <c r="L6" s="31" t="s">
        <v>471</v>
      </c>
      <c r="M6" s="31" t="s">
        <v>209</v>
      </c>
      <c r="N6" s="31" t="s">
        <v>210</v>
      </c>
      <c r="O6" s="31" t="s">
        <v>39</v>
      </c>
      <c r="P6" s="31" t="s">
        <v>211</v>
      </c>
      <c r="Q6" s="31" t="s">
        <v>111</v>
      </c>
      <c r="R6" s="31" t="s">
        <v>95</v>
      </c>
      <c r="S6" s="395" t="s">
        <v>94</v>
      </c>
      <c r="T6" s="396"/>
      <c r="U6" s="395" t="s">
        <v>1</v>
      </c>
      <c r="V6" s="396"/>
      <c r="W6" s="395"/>
      <c r="X6" s="396"/>
      <c r="Y6" s="31" t="s">
        <v>93</v>
      </c>
      <c r="Z6" s="31" t="s">
        <v>93</v>
      </c>
      <c r="AA6" s="31" t="s">
        <v>92</v>
      </c>
      <c r="AB6" s="31" t="s">
        <v>92</v>
      </c>
      <c r="AC6" s="31" t="s">
        <v>499</v>
      </c>
      <c r="AD6" s="31" t="s">
        <v>499</v>
      </c>
      <c r="AE6" s="31" t="s">
        <v>499</v>
      </c>
      <c r="AF6" s="31" t="s">
        <v>71</v>
      </c>
      <c r="AG6" s="31" t="s">
        <v>92</v>
      </c>
      <c r="AH6" s="31" t="s">
        <v>92</v>
      </c>
      <c r="AI6" s="31" t="s">
        <v>92</v>
      </c>
      <c r="AJ6" s="31" t="s">
        <v>71</v>
      </c>
      <c r="AK6" s="31" t="s">
        <v>499</v>
      </c>
      <c r="AL6" s="31" t="s">
        <v>92</v>
      </c>
    </row>
    <row r="7" spans="1:38" ht="26">
      <c r="A7" s="28" t="s">
        <v>91</v>
      </c>
      <c r="B7" s="32" t="s">
        <v>90</v>
      </c>
      <c r="C7" s="31" t="s">
        <v>89</v>
      </c>
      <c r="D7" s="31" t="s">
        <v>4</v>
      </c>
      <c r="E7" s="31" t="s">
        <v>4</v>
      </c>
      <c r="F7" s="31" t="s">
        <v>4</v>
      </c>
      <c r="G7" s="31" t="s">
        <v>4</v>
      </c>
      <c r="H7" s="31" t="s">
        <v>110</v>
      </c>
      <c r="I7" s="31" t="s">
        <v>4</v>
      </c>
      <c r="J7" s="31" t="s">
        <v>4</v>
      </c>
      <c r="K7" s="31" t="s">
        <v>4</v>
      </c>
      <c r="L7" s="31" t="s">
        <v>4</v>
      </c>
      <c r="M7" s="31" t="s">
        <v>4</v>
      </c>
      <c r="N7" s="31" t="s">
        <v>4</v>
      </c>
      <c r="O7" s="31" t="s">
        <v>4</v>
      </c>
      <c r="P7" s="31" t="s">
        <v>4</v>
      </c>
      <c r="Q7" s="31"/>
      <c r="R7" s="31" t="s">
        <v>88</v>
      </c>
      <c r="S7" s="395" t="s">
        <v>88</v>
      </c>
      <c r="T7" s="396"/>
      <c r="U7" s="31" t="s">
        <v>87</v>
      </c>
      <c r="V7" s="31" t="s">
        <v>86</v>
      </c>
      <c r="W7" s="31"/>
      <c r="X7" s="31"/>
      <c r="Y7" s="31" t="s">
        <v>85</v>
      </c>
      <c r="Z7" s="31" t="s">
        <v>84</v>
      </c>
      <c r="AA7" s="31" t="str">
        <f>Form!F17</f>
        <v>Mcf</v>
      </c>
      <c r="AB7" s="31" t="s">
        <v>112</v>
      </c>
      <c r="AC7" s="31" t="s">
        <v>4</v>
      </c>
      <c r="AD7" s="31" t="s">
        <v>4</v>
      </c>
      <c r="AE7" s="31" t="s">
        <v>4</v>
      </c>
      <c r="AF7" s="31" t="s">
        <v>84</v>
      </c>
      <c r="AG7" s="31" t="s">
        <v>4</v>
      </c>
      <c r="AH7" s="31" t="s">
        <v>4</v>
      </c>
      <c r="AI7" s="31" t="s">
        <v>4</v>
      </c>
      <c r="AJ7" s="31" t="s">
        <v>84</v>
      </c>
      <c r="AK7" s="31" t="str">
        <f>AC7</f>
        <v>kBtu</v>
      </c>
      <c r="AL7" s="31">
        <f>Form!O17</f>
        <v>0</v>
      </c>
    </row>
    <row r="8" spans="1:38">
      <c r="A8" s="30" t="s">
        <v>83</v>
      </c>
      <c r="B8" s="29">
        <f>Form!D33</f>
        <v>2022</v>
      </c>
      <c r="C8" s="24">
        <f>_xlfn.XLOOKUP(A8,Form!$C$41:$C$52,Form!$D$41:$D$52)</f>
        <v>282276.43762500002</v>
      </c>
      <c r="D8" s="24">
        <f t="shared" ref="D8:D20" si="0">C8*3.412</f>
        <v>963127.20517650002</v>
      </c>
      <c r="E8" s="24">
        <f t="shared" ref="E8:E19" si="1">$J$110</f>
        <v>1005168.0662603573</v>
      </c>
      <c r="F8" s="24">
        <f t="shared" ref="F8:F19" si="2">$J$111</f>
        <v>775992.36350065481</v>
      </c>
      <c r="G8" s="24">
        <f t="shared" ref="G8:G19" si="3">$J$112</f>
        <v>584753.70179714286</v>
      </c>
      <c r="H8" s="24">
        <f t="shared" ref="H8:H19" si="4">C8/R8</f>
        <v>364.20064011379804</v>
      </c>
      <c r="I8" s="24">
        <f>$B$29/12</f>
        <v>115840.1195665875</v>
      </c>
      <c r="J8" s="24">
        <f>$C$29/12</f>
        <v>270293.61232203752</v>
      </c>
      <c r="K8" s="24">
        <f>D8-I8-J8-L8</f>
        <v>365105.48814904504</v>
      </c>
      <c r="L8" s="24">
        <f>D8*0.22</f>
        <v>211887.98513883</v>
      </c>
      <c r="M8" s="113">
        <f>I8-(I8*$M$22)</f>
        <v>94988.898044601752</v>
      </c>
      <c r="N8" s="24">
        <f t="shared" ref="N8:N19" si="5">J8-(J8*$N$22)</f>
        <v>108117.44492881501</v>
      </c>
      <c r="O8" s="24">
        <f>K8-(K8*$O$22)</f>
        <v>346850.21374159277</v>
      </c>
      <c r="P8" s="24">
        <f>L8-(L8*$P$22)</f>
        <v>209769.10528744169</v>
      </c>
      <c r="Q8" s="24"/>
      <c r="R8" s="24">
        <f>Form!E41</f>
        <v>775.0575</v>
      </c>
      <c r="S8" s="417">
        <f>Form!F41</f>
        <v>775.0575</v>
      </c>
      <c r="T8" s="418"/>
      <c r="U8" s="25">
        <f>Form!G41</f>
        <v>0</v>
      </c>
      <c r="V8" s="25">
        <f>Form!H41</f>
        <v>14932.971084251743</v>
      </c>
      <c r="W8" s="25"/>
      <c r="X8" s="24"/>
      <c r="Y8" s="252">
        <f>V8/C8</f>
        <v>5.2901939708088458E-2</v>
      </c>
      <c r="Z8" s="24">
        <f>W8+X8</f>
        <v>0</v>
      </c>
      <c r="AA8" s="24">
        <f>_xlfn.XLOOKUP(A8,Form!$C$41:$C$52,Form!$K$41:$K$52)</f>
        <v>841.05</v>
      </c>
      <c r="AB8" s="24">
        <f>AA8*10.38</f>
        <v>8730.0990000000002</v>
      </c>
      <c r="AC8" s="24">
        <f>(_xlfn.XLOOKUP(Calculation!$AA$7,Refference!$X$9:$X$17,Refference!$Y$9:$Y$17))*AA8</f>
        <v>86459.939999999988</v>
      </c>
      <c r="AD8" s="24">
        <f>AC8/2</f>
        <v>43229.969999999994</v>
      </c>
      <c r="AE8" s="24">
        <f>AC8-AD8</f>
        <v>43229.969999999994</v>
      </c>
      <c r="AF8" s="24">
        <f>AA8*Form!L41</f>
        <v>2825353.9833750003</v>
      </c>
      <c r="AG8" s="24">
        <f>AD8-(AD8*$AG$21)</f>
        <v>41068.471499999992</v>
      </c>
      <c r="AH8" s="24">
        <f>AE8-(AE8*$AH$21)</f>
        <v>38906.972999999998</v>
      </c>
      <c r="AI8" s="24">
        <f>AH8+AG8</f>
        <v>79975.444499999983</v>
      </c>
      <c r="AJ8" s="24">
        <v>0</v>
      </c>
      <c r="AK8" s="24">
        <f>AC8+D8</f>
        <v>1049587.1451765001</v>
      </c>
      <c r="AL8" s="24" t="e">
        <f>_xlfn.XLOOKUP(J8,Form!$C$41:$C$52,Form!$K$41:$K$52)</f>
        <v>#N/A</v>
      </c>
    </row>
    <row r="9" spans="1:38">
      <c r="A9" s="30" t="s">
        <v>82</v>
      </c>
      <c r="B9" s="29">
        <f>B8</f>
        <v>2022</v>
      </c>
      <c r="C9" s="24">
        <f>_xlfn.XLOOKUP(A9,Form!$C$41:$C$52,Form!$D$41:$D$52)</f>
        <v>243507.57637499998</v>
      </c>
      <c r="D9" s="24">
        <f t="shared" si="0"/>
        <v>830847.85059149994</v>
      </c>
      <c r="E9" s="24">
        <f t="shared" si="1"/>
        <v>1005168.0662603573</v>
      </c>
      <c r="F9" s="24">
        <f t="shared" si="2"/>
        <v>775992.36350065481</v>
      </c>
      <c r="G9" s="24">
        <f t="shared" si="3"/>
        <v>584753.70179714286</v>
      </c>
      <c r="H9" s="24">
        <f t="shared" si="4"/>
        <v>284.9916774193548</v>
      </c>
      <c r="I9" s="24">
        <f t="shared" ref="I9:I19" si="6">$B$29/12</f>
        <v>115840.1195665875</v>
      </c>
      <c r="J9" s="24">
        <f t="shared" ref="J9:J19" si="7">$C$29/12</f>
        <v>270293.61232203752</v>
      </c>
      <c r="K9" s="24">
        <f t="shared" ref="K9:K19" si="8">D9-I9-J9-L9</f>
        <v>212076.72053725491</v>
      </c>
      <c r="L9" s="24">
        <f>D9*0.28</f>
        <v>232637.39816562002</v>
      </c>
      <c r="M9" s="113">
        <f t="shared" ref="M9:M19" si="9">I9-(I9*$M$22)</f>
        <v>94988.898044601752</v>
      </c>
      <c r="N9" s="24">
        <f t="shared" si="5"/>
        <v>108117.44492881501</v>
      </c>
      <c r="O9" s="24">
        <f t="shared" ref="O9:O19" si="10">K9-(K9*$O$22)</f>
        <v>201472.88451039215</v>
      </c>
      <c r="P9" s="24">
        <f t="shared" ref="P9:P19" si="11">L9-(L9*$P$22)</f>
        <v>230311.02418396383</v>
      </c>
      <c r="Q9" s="24"/>
      <c r="R9" s="24">
        <f>Form!E42</f>
        <v>854.4375</v>
      </c>
      <c r="S9" s="417">
        <f>Form!F42</f>
        <v>854.4375</v>
      </c>
      <c r="T9" s="418"/>
      <c r="U9" s="25">
        <f>Form!G42</f>
        <v>0</v>
      </c>
      <c r="V9" s="25">
        <f>Form!H42</f>
        <v>16586.575629351839</v>
      </c>
      <c r="W9" s="25"/>
      <c r="X9" s="24"/>
      <c r="Y9" s="252">
        <f t="shared" ref="Y9:Y19" si="12">V9/C9</f>
        <v>6.8115234344120063E-2</v>
      </c>
      <c r="Z9" s="24">
        <f t="shared" ref="Z9:Z19" si="13">W9+X9</f>
        <v>0</v>
      </c>
      <c r="AA9" s="24">
        <f>_xlfn.XLOOKUP(A9,Form!$C$41:$C$52,Form!$K$41:$K$52)</f>
        <v>858.9</v>
      </c>
      <c r="AB9" s="24">
        <f t="shared" ref="AB9:AB19" si="14">AA9*10.38</f>
        <v>8915.3819999999996</v>
      </c>
      <c r="AC9" s="24">
        <f>(_xlfn.XLOOKUP(Calculation!$AA$7,Refference!$X$9:$X$17,Refference!$Y$9:$Y$17))*AA9</f>
        <v>88294.92</v>
      </c>
      <c r="AD9" s="24">
        <f t="shared" ref="AD9:AD19" si="15">AC9/2</f>
        <v>44147.46</v>
      </c>
      <c r="AE9" s="24">
        <f t="shared" ref="AE9:AE19" si="16">AC9-AD9</f>
        <v>44147.46</v>
      </c>
      <c r="AF9" s="24">
        <f>AA9*Form!L42</f>
        <v>1325712.1499999999</v>
      </c>
      <c r="AG9" s="24">
        <f t="shared" ref="AG9:AG19" si="17">AD9-(AD9*$AG$21)</f>
        <v>41940.087</v>
      </c>
      <c r="AH9" s="24">
        <f t="shared" ref="AH9:AH19" si="18">AE9-(AE9*$AH$21)</f>
        <v>39732.714</v>
      </c>
      <c r="AI9" s="24">
        <f t="shared" ref="AI9:AI19" si="19">AH9+AG9</f>
        <v>81672.801000000007</v>
      </c>
      <c r="AJ9" s="24">
        <v>0</v>
      </c>
      <c r="AK9" s="24">
        <f t="shared" ref="AK9:AK19" si="20">AC9+D9</f>
        <v>919142.77059149998</v>
      </c>
      <c r="AL9" s="24" t="e">
        <f>_xlfn.XLOOKUP(J9,Form!$C$41:$C$52,Form!$K$41:$K$52)</f>
        <v>#N/A</v>
      </c>
    </row>
    <row r="10" spans="1:38">
      <c r="A10" s="30" t="s">
        <v>81</v>
      </c>
      <c r="B10" s="29">
        <f t="shared" ref="B10:B19" si="21">B9</f>
        <v>2022</v>
      </c>
      <c r="C10" s="24">
        <f>_xlfn.XLOOKUP(A10,Form!$C$41:$C$52,Form!$D$41:$D$52)</f>
        <v>278232.85349999997</v>
      </c>
      <c r="D10" s="24">
        <f t="shared" si="0"/>
        <v>949330.49614199984</v>
      </c>
      <c r="E10" s="24">
        <f t="shared" si="1"/>
        <v>1005168.0662603573</v>
      </c>
      <c r="F10" s="24">
        <f t="shared" si="2"/>
        <v>775992.36350065481</v>
      </c>
      <c r="G10" s="24">
        <f t="shared" si="3"/>
        <v>584753.70179714286</v>
      </c>
      <c r="H10" s="24">
        <f t="shared" si="4"/>
        <v>495.8062868369351</v>
      </c>
      <c r="I10" s="24">
        <f t="shared" si="6"/>
        <v>115840.1195665875</v>
      </c>
      <c r="J10" s="24">
        <f t="shared" si="7"/>
        <v>270293.61232203752</v>
      </c>
      <c r="K10" s="24">
        <f t="shared" si="8"/>
        <v>392317.27494781493</v>
      </c>
      <c r="L10" s="24">
        <f>D10*0.18</f>
        <v>170879.48930555995</v>
      </c>
      <c r="M10" s="113">
        <f t="shared" si="9"/>
        <v>94988.898044601752</v>
      </c>
      <c r="N10" s="24">
        <f t="shared" si="5"/>
        <v>108117.44492881501</v>
      </c>
      <c r="O10" s="24">
        <f t="shared" si="10"/>
        <v>372701.41120042419</v>
      </c>
      <c r="P10" s="24">
        <f t="shared" si="11"/>
        <v>169170.69441250435</v>
      </c>
      <c r="Q10" s="24"/>
      <c r="R10" s="24">
        <f>Form!E43</f>
        <v>561.17250000000001</v>
      </c>
      <c r="S10" s="417">
        <f>Form!F43</f>
        <v>561.17250000000001</v>
      </c>
      <c r="T10" s="418"/>
      <c r="U10" s="25">
        <f>Form!G43</f>
        <v>0</v>
      </c>
      <c r="V10" s="25">
        <f>Form!H43</f>
        <v>14470.858137745798</v>
      </c>
      <c r="W10" s="25"/>
      <c r="X10" s="24"/>
      <c r="Y10" s="252">
        <f t="shared" si="12"/>
        <v>5.2009882929751859E-2</v>
      </c>
      <c r="Z10" s="24">
        <f t="shared" si="13"/>
        <v>0</v>
      </c>
      <c r="AA10" s="24">
        <f>_xlfn.XLOOKUP(A10,Form!$C$41:$C$52,Form!$K$41:$K$52)</f>
        <v>1027.95</v>
      </c>
      <c r="AB10" s="24">
        <f t="shared" si="14"/>
        <v>10670.121000000001</v>
      </c>
      <c r="AC10" s="24">
        <f>(_xlfn.XLOOKUP(Calculation!$AA$7,Refference!$X$9:$X$17,Refference!$Y$9:$Y$17))*AA10</f>
        <v>105673.26</v>
      </c>
      <c r="AD10" s="24">
        <f t="shared" si="15"/>
        <v>52836.63</v>
      </c>
      <c r="AE10" s="24">
        <f t="shared" si="16"/>
        <v>52836.63</v>
      </c>
      <c r="AF10" s="24">
        <f>AA10*Form!L43</f>
        <v>1187713.9890000001</v>
      </c>
      <c r="AG10" s="24">
        <f t="shared" si="17"/>
        <v>50194.798499999997</v>
      </c>
      <c r="AH10" s="24">
        <f t="shared" si="18"/>
        <v>47552.966999999997</v>
      </c>
      <c r="AI10" s="24">
        <f t="shared" si="19"/>
        <v>97747.765499999994</v>
      </c>
      <c r="AJ10" s="24">
        <v>0</v>
      </c>
      <c r="AK10" s="24">
        <f t="shared" si="20"/>
        <v>1055003.7561419997</v>
      </c>
      <c r="AL10" s="24" t="e">
        <f>_xlfn.XLOOKUP(J10,Form!$C$41:$C$52,Form!$K$41:$K$52)</f>
        <v>#N/A</v>
      </c>
    </row>
    <row r="11" spans="1:38">
      <c r="A11" s="30" t="s">
        <v>80</v>
      </c>
      <c r="B11" s="29">
        <f t="shared" si="21"/>
        <v>2022</v>
      </c>
      <c r="C11" s="24">
        <f>_xlfn.XLOOKUP(A11,Form!$C$41:$C$52,Form!$D$41:$D$52)</f>
        <v>161785.03949999998</v>
      </c>
      <c r="D11" s="24">
        <f t="shared" si="0"/>
        <v>552010.55477399996</v>
      </c>
      <c r="E11" s="24">
        <f t="shared" si="1"/>
        <v>1005168.0662603573</v>
      </c>
      <c r="F11" s="24">
        <f t="shared" si="2"/>
        <v>775992.36350065481</v>
      </c>
      <c r="G11" s="24">
        <f t="shared" si="3"/>
        <v>584753.70179714286</v>
      </c>
      <c r="H11" s="24">
        <f t="shared" si="4"/>
        <v>215.16686217008797</v>
      </c>
      <c r="I11" s="24">
        <f t="shared" si="6"/>
        <v>115840.1195665875</v>
      </c>
      <c r="J11" s="24">
        <f t="shared" si="7"/>
        <v>270293.61232203752</v>
      </c>
      <c r="K11" s="24">
        <f t="shared" si="8"/>
        <v>113435.82018184496</v>
      </c>
      <c r="L11" s="24">
        <f>D11*0.095</f>
        <v>52441.002703529994</v>
      </c>
      <c r="M11" s="113">
        <f t="shared" si="9"/>
        <v>94988.898044601752</v>
      </c>
      <c r="N11" s="24">
        <f t="shared" si="5"/>
        <v>108117.44492881501</v>
      </c>
      <c r="O11" s="24">
        <f t="shared" si="10"/>
        <v>107764.02917275271</v>
      </c>
      <c r="P11" s="24">
        <f t="shared" si="11"/>
        <v>51916.592676494693</v>
      </c>
      <c r="Q11" s="24"/>
      <c r="R11" s="24">
        <f>Form!E44</f>
        <v>751.90499999999997</v>
      </c>
      <c r="S11" s="417">
        <f>Form!F44</f>
        <v>751.90499999999997</v>
      </c>
      <c r="T11" s="418"/>
      <c r="U11" s="25">
        <f>Form!G44</f>
        <v>0</v>
      </c>
      <c r="V11" s="25">
        <f>Form!H44</f>
        <v>19562.825141494741</v>
      </c>
      <c r="W11" s="25"/>
      <c r="X11" s="24"/>
      <c r="Y11" s="252">
        <f t="shared" si="12"/>
        <v>0.12091862882967459</v>
      </c>
      <c r="Z11" s="24">
        <f t="shared" si="13"/>
        <v>0</v>
      </c>
      <c r="AA11" s="24">
        <f>_xlfn.XLOOKUP(A11,Form!$C$41:$C$52,Form!$K$41:$K$52)</f>
        <v>120</v>
      </c>
      <c r="AB11" s="24">
        <f t="shared" si="14"/>
        <v>1245.6000000000001</v>
      </c>
      <c r="AC11" s="24">
        <f>(_xlfn.XLOOKUP(Calculation!$AA$7,Refference!$X$9:$X$17,Refference!$Y$9:$Y$17))*AA11</f>
        <v>12336</v>
      </c>
      <c r="AD11" s="24">
        <f t="shared" si="15"/>
        <v>6168</v>
      </c>
      <c r="AE11" s="24">
        <f t="shared" si="16"/>
        <v>6168</v>
      </c>
      <c r="AF11" s="24">
        <f>AA11*Form!L44</f>
        <v>90360.900000000009</v>
      </c>
      <c r="AG11" s="24">
        <f t="shared" si="17"/>
        <v>5859.6</v>
      </c>
      <c r="AH11" s="24">
        <f t="shared" si="18"/>
        <v>5551.2</v>
      </c>
      <c r="AI11" s="24">
        <f t="shared" si="19"/>
        <v>11410.8</v>
      </c>
      <c r="AJ11" s="24">
        <v>0</v>
      </c>
      <c r="AK11" s="24">
        <f t="shared" si="20"/>
        <v>564346.55477399996</v>
      </c>
      <c r="AL11" s="24" t="e">
        <f>_xlfn.XLOOKUP(J11,Form!$C$41:$C$52,Form!$K$41:$K$52)</f>
        <v>#N/A</v>
      </c>
    </row>
    <row r="12" spans="1:38">
      <c r="A12" s="30" t="s">
        <v>79</v>
      </c>
      <c r="B12" s="29">
        <f t="shared" si="21"/>
        <v>2022</v>
      </c>
      <c r="C12" s="24">
        <f>_xlfn.XLOOKUP(A12,Form!$C$41:$C$52,Form!$D$41:$D$52)</f>
        <v>171885.317625</v>
      </c>
      <c r="D12" s="24">
        <f t="shared" si="0"/>
        <v>586472.7037365</v>
      </c>
      <c r="E12" s="24">
        <f t="shared" si="1"/>
        <v>1005168.0662603573</v>
      </c>
      <c r="F12" s="24">
        <f t="shared" si="2"/>
        <v>775992.36350065481</v>
      </c>
      <c r="G12" s="24">
        <f t="shared" si="3"/>
        <v>584753.70179714286</v>
      </c>
      <c r="H12" s="24">
        <f t="shared" si="4"/>
        <v>52.599544534412956</v>
      </c>
      <c r="I12" s="24">
        <f t="shared" si="6"/>
        <v>115840.1195665875</v>
      </c>
      <c r="J12" s="24">
        <f t="shared" si="7"/>
        <v>270293.61232203752</v>
      </c>
      <c r="K12" s="24">
        <f t="shared" si="8"/>
        <v>112368.06628739998</v>
      </c>
      <c r="L12" s="24">
        <f>D12*0.15</f>
        <v>87970.905560475003</v>
      </c>
      <c r="M12" s="113">
        <f t="shared" si="9"/>
        <v>94988.898044601752</v>
      </c>
      <c r="N12" s="24">
        <f t="shared" si="5"/>
        <v>108117.44492881501</v>
      </c>
      <c r="O12" s="24">
        <f t="shared" si="10"/>
        <v>106749.66297302998</v>
      </c>
      <c r="P12" s="24">
        <f t="shared" si="11"/>
        <v>87091.196504870255</v>
      </c>
      <c r="Q12" s="24"/>
      <c r="R12" s="24">
        <f>Form!E45</f>
        <v>3267.81</v>
      </c>
      <c r="S12" s="417">
        <f>Form!F45</f>
        <v>3267.81</v>
      </c>
      <c r="T12" s="418"/>
      <c r="U12" s="25">
        <f>Form!G45</f>
        <v>0</v>
      </c>
      <c r="V12" s="25">
        <f>Form!H45</f>
        <v>22762.302616217428</v>
      </c>
      <c r="W12" s="25"/>
      <c r="X12" s="24"/>
      <c r="Y12" s="252">
        <f t="shared" si="12"/>
        <v>0.13242726563695018</v>
      </c>
      <c r="Z12" s="24">
        <f t="shared" si="13"/>
        <v>0</v>
      </c>
      <c r="AA12" s="24">
        <f>_xlfn.XLOOKUP(A12,Form!$C$41:$C$52,Form!$K$41:$K$52)</f>
        <v>308.7</v>
      </c>
      <c r="AB12" s="24">
        <f t="shared" si="14"/>
        <v>3204.306</v>
      </c>
      <c r="AC12" s="24">
        <f>(_xlfn.XLOOKUP(Calculation!$AA$7,Refference!$X$9:$X$17,Refference!$Y$9:$Y$17))*AA12</f>
        <v>31734.359999999997</v>
      </c>
      <c r="AD12" s="24">
        <f t="shared" si="15"/>
        <v>15867.179999999998</v>
      </c>
      <c r="AE12" s="24">
        <f t="shared" si="16"/>
        <v>15867.179999999998</v>
      </c>
      <c r="AF12" s="24">
        <f>AA12*Form!L45</f>
        <v>266827.93200000003</v>
      </c>
      <c r="AG12" s="24">
        <f t="shared" si="17"/>
        <v>15073.820999999998</v>
      </c>
      <c r="AH12" s="24">
        <f t="shared" si="18"/>
        <v>14280.462</v>
      </c>
      <c r="AI12" s="24">
        <f t="shared" si="19"/>
        <v>29354.282999999996</v>
      </c>
      <c r="AJ12" s="24">
        <v>0</v>
      </c>
      <c r="AK12" s="24">
        <f t="shared" si="20"/>
        <v>618207.06373649999</v>
      </c>
      <c r="AL12" s="24" t="e">
        <f>_xlfn.XLOOKUP(J12,Form!$C$41:$C$52,Form!$K$41:$K$52)</f>
        <v>#N/A</v>
      </c>
    </row>
    <row r="13" spans="1:38">
      <c r="A13" s="30" t="s">
        <v>78</v>
      </c>
      <c r="B13" s="29">
        <f t="shared" si="21"/>
        <v>2022</v>
      </c>
      <c r="C13" s="24">
        <f>_xlfn.XLOOKUP(A13,Form!$C$41:$C$52,Form!$D$41:$D$52)</f>
        <v>137826.83249999999</v>
      </c>
      <c r="D13" s="24">
        <f t="shared" si="0"/>
        <v>470265.15248999995</v>
      </c>
      <c r="E13" s="24">
        <f t="shared" si="1"/>
        <v>1005168.0662603573</v>
      </c>
      <c r="F13" s="24">
        <f t="shared" si="2"/>
        <v>775992.36350065481</v>
      </c>
      <c r="G13" s="24">
        <f t="shared" si="3"/>
        <v>584753.70179714286</v>
      </c>
      <c r="H13" s="24">
        <f t="shared" si="4"/>
        <v>118.72079772079771</v>
      </c>
      <c r="I13" s="24">
        <f t="shared" si="6"/>
        <v>115840.1195665875</v>
      </c>
      <c r="J13" s="24">
        <f t="shared" si="7"/>
        <v>270293.61232203752</v>
      </c>
      <c r="K13" s="24">
        <f t="shared" si="8"/>
        <v>48861.534164624944</v>
      </c>
      <c r="L13" s="24">
        <f>D13*0.075</f>
        <v>35269.886436749992</v>
      </c>
      <c r="M13" s="113">
        <f t="shared" si="9"/>
        <v>94988.898044601752</v>
      </c>
      <c r="N13" s="24">
        <f t="shared" si="5"/>
        <v>108117.44492881501</v>
      </c>
      <c r="O13" s="24">
        <f t="shared" si="10"/>
        <v>46418.457456393699</v>
      </c>
      <c r="P13" s="24">
        <f t="shared" si="11"/>
        <v>34917.187572382492</v>
      </c>
      <c r="Q13" s="24"/>
      <c r="R13" s="24">
        <f>Form!E46</f>
        <v>1160.9325000000001</v>
      </c>
      <c r="S13" s="417">
        <f>Form!F46</f>
        <v>1160.9325000000001</v>
      </c>
      <c r="T13" s="418"/>
      <c r="U13" s="25">
        <f>Form!G46</f>
        <v>0</v>
      </c>
      <c r="V13" s="25">
        <f>Form!H46</f>
        <v>34684.337872112512</v>
      </c>
      <c r="W13" s="25"/>
      <c r="X13" s="24"/>
      <c r="Y13" s="252">
        <f t="shared" si="12"/>
        <v>0.25165156336385019</v>
      </c>
      <c r="Z13" s="24">
        <f t="shared" si="13"/>
        <v>0</v>
      </c>
      <c r="AA13" s="24">
        <f>_xlfn.XLOOKUP(A13,Form!$C$41:$C$52,Form!$K$41:$K$52)</f>
        <v>181.65</v>
      </c>
      <c r="AB13" s="24">
        <f t="shared" si="14"/>
        <v>1885.5270000000003</v>
      </c>
      <c r="AC13" s="24">
        <f>(_xlfn.XLOOKUP(Calculation!$AA$7,Refference!$X$9:$X$17,Refference!$Y$9:$Y$17))*AA13</f>
        <v>18673.62</v>
      </c>
      <c r="AD13" s="24">
        <f t="shared" si="15"/>
        <v>9336.81</v>
      </c>
      <c r="AE13" s="24">
        <f t="shared" si="16"/>
        <v>9336.81</v>
      </c>
      <c r="AF13" s="24">
        <f>AA13*Form!L46</f>
        <v>191257.01437499997</v>
      </c>
      <c r="AG13" s="24">
        <f t="shared" si="17"/>
        <v>8869.9694999999992</v>
      </c>
      <c r="AH13" s="24">
        <f t="shared" si="18"/>
        <v>8403.128999999999</v>
      </c>
      <c r="AI13" s="24">
        <f t="shared" si="19"/>
        <v>17273.0985</v>
      </c>
      <c r="AJ13" s="24">
        <v>0</v>
      </c>
      <c r="AK13" s="24">
        <f t="shared" si="20"/>
        <v>488938.77248999994</v>
      </c>
      <c r="AL13" s="24" t="e">
        <f>_xlfn.XLOOKUP(J13,Form!$C$41:$C$52,Form!$K$41:$K$52)</f>
        <v>#N/A</v>
      </c>
    </row>
    <row r="14" spans="1:38">
      <c r="A14" s="30" t="s">
        <v>77</v>
      </c>
      <c r="B14" s="29">
        <f t="shared" si="21"/>
        <v>2022</v>
      </c>
      <c r="C14" s="24">
        <f>_xlfn.XLOOKUP(A14,Form!$C$41:$C$52,Form!$D$41:$D$52)</f>
        <v>192202.79399999999</v>
      </c>
      <c r="D14" s="24">
        <f t="shared" si="0"/>
        <v>655795.933128</v>
      </c>
      <c r="E14" s="24">
        <f t="shared" si="1"/>
        <v>1005168.0662603573</v>
      </c>
      <c r="F14" s="24">
        <f t="shared" si="2"/>
        <v>775992.36350065481</v>
      </c>
      <c r="G14" s="24">
        <f t="shared" si="3"/>
        <v>584753.70179714286</v>
      </c>
      <c r="H14" s="24">
        <f t="shared" si="4"/>
        <v>251.56363636363633</v>
      </c>
      <c r="I14" s="24">
        <f t="shared" si="6"/>
        <v>115840.1195665875</v>
      </c>
      <c r="J14" s="24">
        <f t="shared" si="7"/>
        <v>270293.61232203752</v>
      </c>
      <c r="K14" s="24">
        <f t="shared" si="8"/>
        <v>236872.404582975</v>
      </c>
      <c r="L14" s="24">
        <f>D14*0.05</f>
        <v>32789.796656400002</v>
      </c>
      <c r="M14" s="113">
        <f t="shared" si="9"/>
        <v>94988.898044601752</v>
      </c>
      <c r="N14" s="24">
        <f t="shared" si="5"/>
        <v>108117.44492881501</v>
      </c>
      <c r="O14" s="24">
        <f t="shared" si="10"/>
        <v>225028.78435382625</v>
      </c>
      <c r="P14" s="24">
        <f t="shared" si="11"/>
        <v>32461.898689836002</v>
      </c>
      <c r="Q14" s="24"/>
      <c r="R14" s="24">
        <f>Form!E47</f>
        <v>764.03250000000003</v>
      </c>
      <c r="S14" s="417">
        <f>Form!F47</f>
        <v>764.03250000000003</v>
      </c>
      <c r="T14" s="418"/>
      <c r="U14" s="25">
        <f>Form!G47</f>
        <v>0</v>
      </c>
      <c r="V14" s="25">
        <f>Form!H47</f>
        <v>25339.249272376306</v>
      </c>
      <c r="W14" s="25"/>
      <c r="X14" s="24"/>
      <c r="Y14" s="252">
        <f t="shared" si="12"/>
        <v>0.13183600896236872</v>
      </c>
      <c r="Z14" s="24">
        <f t="shared" si="13"/>
        <v>0</v>
      </c>
      <c r="AA14" s="24">
        <f>_xlfn.XLOOKUP(A14,Form!$C$41:$C$52,Form!$K$41:$K$52)</f>
        <v>55.65</v>
      </c>
      <c r="AB14" s="24">
        <f t="shared" si="14"/>
        <v>577.64700000000005</v>
      </c>
      <c r="AC14" s="24">
        <f>(_xlfn.XLOOKUP(Calculation!$AA$7,Refference!$X$9:$X$17,Refference!$Y$9:$Y$17))*AA14</f>
        <v>5720.82</v>
      </c>
      <c r="AD14" s="24">
        <f t="shared" si="15"/>
        <v>2860.41</v>
      </c>
      <c r="AE14" s="24">
        <f t="shared" si="16"/>
        <v>2860.41</v>
      </c>
      <c r="AF14" s="24">
        <f>AA14*Form!L47</f>
        <v>69391.515375000003</v>
      </c>
      <c r="AG14" s="24">
        <f t="shared" si="17"/>
        <v>2717.3894999999998</v>
      </c>
      <c r="AH14" s="24">
        <f t="shared" si="18"/>
        <v>2574.3689999999997</v>
      </c>
      <c r="AI14" s="24">
        <f t="shared" si="19"/>
        <v>5291.7584999999999</v>
      </c>
      <c r="AJ14" s="24">
        <v>0</v>
      </c>
      <c r="AK14" s="24">
        <f t="shared" si="20"/>
        <v>661516.75312799995</v>
      </c>
      <c r="AL14" s="24" t="e">
        <f>_xlfn.XLOOKUP(J14,Form!$C$41:$C$52,Form!$K$41:$K$52)</f>
        <v>#N/A</v>
      </c>
    </row>
    <row r="15" spans="1:38">
      <c r="A15" s="30" t="s">
        <v>76</v>
      </c>
      <c r="B15" s="29">
        <f t="shared" si="21"/>
        <v>2022</v>
      </c>
      <c r="C15" s="24">
        <f>_xlfn.XLOOKUP(A15,Form!$C$41:$C$52,Form!$D$41:$D$52)</f>
        <v>229316.25149999998</v>
      </c>
      <c r="D15" s="24">
        <f t="shared" si="0"/>
        <v>782427.0501179999</v>
      </c>
      <c r="E15" s="24">
        <f t="shared" si="1"/>
        <v>1005168.0662603573</v>
      </c>
      <c r="F15" s="24">
        <f t="shared" si="2"/>
        <v>775992.36350065481</v>
      </c>
      <c r="G15" s="24">
        <f t="shared" si="3"/>
        <v>584753.70179714286</v>
      </c>
      <c r="H15" s="24">
        <f t="shared" si="4"/>
        <v>271.18200782268576</v>
      </c>
      <c r="I15" s="24">
        <f t="shared" si="6"/>
        <v>115840.1195665875</v>
      </c>
      <c r="J15" s="24">
        <f t="shared" si="7"/>
        <v>270293.61232203752</v>
      </c>
      <c r="K15" s="24">
        <f t="shared" si="8"/>
        <v>388469.04772819486</v>
      </c>
      <c r="L15" s="24">
        <f>D15*0.01</f>
        <v>7824.270501179999</v>
      </c>
      <c r="M15" s="113">
        <f t="shared" si="9"/>
        <v>94988.898044601752</v>
      </c>
      <c r="N15" s="24">
        <f t="shared" si="5"/>
        <v>108117.44492881501</v>
      </c>
      <c r="O15" s="24">
        <f t="shared" si="10"/>
        <v>369045.59534178511</v>
      </c>
      <c r="P15" s="24">
        <f t="shared" si="11"/>
        <v>7746.0277961681986</v>
      </c>
      <c r="Q15" s="24"/>
      <c r="R15" s="24">
        <f>Form!E48</f>
        <v>845.61750000000006</v>
      </c>
      <c r="S15" s="417">
        <f>Form!F48</f>
        <v>845.61750000000006</v>
      </c>
      <c r="T15" s="418"/>
      <c r="U15" s="25">
        <f>Form!G48</f>
        <v>0</v>
      </c>
      <c r="V15" s="25">
        <f>Form!H48</f>
        <v>22037.112212946075</v>
      </c>
      <c r="W15" s="25"/>
      <c r="X15" s="24"/>
      <c r="Y15" s="252">
        <f t="shared" si="12"/>
        <v>9.6099216993114314E-2</v>
      </c>
      <c r="Z15" s="24">
        <f t="shared" si="13"/>
        <v>0</v>
      </c>
      <c r="AA15" s="24">
        <f>_xlfn.XLOOKUP(A15,Form!$C$41:$C$52,Form!$K$41:$K$52)</f>
        <v>84</v>
      </c>
      <c r="AB15" s="24">
        <f t="shared" si="14"/>
        <v>871.92000000000007</v>
      </c>
      <c r="AC15" s="24">
        <f>(_xlfn.XLOOKUP(Calculation!$AA$7,Refference!$X$9:$X$17,Refference!$Y$9:$Y$17))*AA15</f>
        <v>8635.1999999999989</v>
      </c>
      <c r="AD15" s="24">
        <f t="shared" si="15"/>
        <v>4317.5999999999995</v>
      </c>
      <c r="AE15" s="24">
        <f t="shared" si="16"/>
        <v>4317.5999999999995</v>
      </c>
      <c r="AF15" s="24">
        <f>AA15*Form!L48</f>
        <v>102519.27</v>
      </c>
      <c r="AG15" s="24">
        <f t="shared" si="17"/>
        <v>4101.7199999999993</v>
      </c>
      <c r="AH15" s="24">
        <f t="shared" si="18"/>
        <v>3885.8399999999992</v>
      </c>
      <c r="AI15" s="24">
        <f t="shared" si="19"/>
        <v>7987.5599999999986</v>
      </c>
      <c r="AJ15" s="24">
        <v>0</v>
      </c>
      <c r="AK15" s="24">
        <f t="shared" si="20"/>
        <v>791062.25011799985</v>
      </c>
      <c r="AL15" s="24" t="e">
        <f>_xlfn.XLOOKUP(J15,Form!$C$41:$C$52,Form!$K$41:$K$52)</f>
        <v>#N/A</v>
      </c>
    </row>
    <row r="16" spans="1:38">
      <c r="A16" s="30" t="s">
        <v>75</v>
      </c>
      <c r="B16" s="29">
        <f t="shared" si="21"/>
        <v>2022</v>
      </c>
      <c r="C16" s="24">
        <f>_xlfn.XLOOKUP(A16,Form!$C$41:$C$52,Form!$D$41:$D$52)</f>
        <v>342687.09824999998</v>
      </c>
      <c r="D16" s="24">
        <f t="shared" si="0"/>
        <v>1169248.3792289998</v>
      </c>
      <c r="E16" s="24">
        <f t="shared" si="1"/>
        <v>1005168.0662603573</v>
      </c>
      <c r="F16" s="24">
        <f t="shared" si="2"/>
        <v>775992.36350065481</v>
      </c>
      <c r="G16" s="24">
        <f t="shared" si="3"/>
        <v>584753.70179714286</v>
      </c>
      <c r="H16" s="24">
        <f t="shared" si="4"/>
        <v>399.00808729139919</v>
      </c>
      <c r="I16" s="24">
        <f t="shared" si="6"/>
        <v>115840.1195665875</v>
      </c>
      <c r="J16" s="24">
        <f t="shared" si="7"/>
        <v>270293.61232203752</v>
      </c>
      <c r="K16" s="24">
        <f t="shared" si="8"/>
        <v>689574.77700205473</v>
      </c>
      <c r="L16" s="24">
        <f>D16*0.08</f>
        <v>93539.87033831999</v>
      </c>
      <c r="M16" s="113">
        <f t="shared" si="9"/>
        <v>94988.898044601752</v>
      </c>
      <c r="N16" s="24">
        <f t="shared" si="5"/>
        <v>108117.44492881501</v>
      </c>
      <c r="O16" s="24">
        <f t="shared" si="10"/>
        <v>655096.03815195197</v>
      </c>
      <c r="P16" s="24">
        <f t="shared" si="11"/>
        <v>92604.471634936795</v>
      </c>
      <c r="Q16" s="24"/>
      <c r="R16" s="24">
        <f>Form!E49</f>
        <v>858.84750000000008</v>
      </c>
      <c r="S16" s="417">
        <f>Form!F49</f>
        <v>858.84750000000008</v>
      </c>
      <c r="T16" s="418"/>
      <c r="U16" s="25">
        <f>Form!G49</f>
        <v>0</v>
      </c>
      <c r="V16" s="25">
        <f>Form!H49</f>
        <v>26474.882532363717</v>
      </c>
      <c r="W16" s="25"/>
      <c r="X16" s="24"/>
      <c r="Y16" s="252">
        <f t="shared" si="12"/>
        <v>7.7256723896414498E-2</v>
      </c>
      <c r="Z16" s="24">
        <f t="shared" si="13"/>
        <v>0</v>
      </c>
      <c r="AA16" s="24">
        <f>_xlfn.XLOOKUP(A16,Form!$C$41:$C$52,Form!$K$41:$K$52)</f>
        <v>122.85</v>
      </c>
      <c r="AB16" s="24">
        <f t="shared" si="14"/>
        <v>1275.183</v>
      </c>
      <c r="AC16" s="24">
        <f>(_xlfn.XLOOKUP(Calculation!$AA$7,Refference!$X$9:$X$17,Refference!$Y$9:$Y$17))*AA16</f>
        <v>12628.98</v>
      </c>
      <c r="AD16" s="24">
        <f t="shared" si="15"/>
        <v>6314.49</v>
      </c>
      <c r="AE16" s="24">
        <f t="shared" si="16"/>
        <v>6314.49</v>
      </c>
      <c r="AF16" s="24">
        <f>AA16*Form!L49</f>
        <v>352691.29349999997</v>
      </c>
      <c r="AG16" s="24">
        <f t="shared" si="17"/>
        <v>5998.7654999999995</v>
      </c>
      <c r="AH16" s="24">
        <f t="shared" si="18"/>
        <v>5683.0409999999993</v>
      </c>
      <c r="AI16" s="24">
        <f t="shared" si="19"/>
        <v>11681.806499999999</v>
      </c>
      <c r="AJ16" s="24">
        <v>0</v>
      </c>
      <c r="AK16" s="24">
        <f t="shared" si="20"/>
        <v>1181877.3592289998</v>
      </c>
      <c r="AL16" s="24" t="e">
        <f>_xlfn.XLOOKUP(J16,Form!$C$41:$C$52,Form!$K$41:$K$52)</f>
        <v>#N/A</v>
      </c>
    </row>
    <row r="17" spans="1:38">
      <c r="A17" s="30" t="s">
        <v>74</v>
      </c>
      <c r="B17" s="29">
        <f t="shared" si="21"/>
        <v>2022</v>
      </c>
      <c r="C17" s="24">
        <f>_xlfn.XLOOKUP(A17,Form!$C$41:$C$52,Form!$D$41:$D$52)</f>
        <v>240032.38612500002</v>
      </c>
      <c r="D17" s="24">
        <f t="shared" si="0"/>
        <v>818990.50145850005</v>
      </c>
      <c r="E17" s="24">
        <f t="shared" si="1"/>
        <v>1005168.0662603573</v>
      </c>
      <c r="F17" s="24">
        <f t="shared" si="2"/>
        <v>775992.36350065481</v>
      </c>
      <c r="G17" s="24">
        <f t="shared" si="3"/>
        <v>584753.70179714286</v>
      </c>
      <c r="H17" s="24">
        <f t="shared" si="4"/>
        <v>315.07445730824895</v>
      </c>
      <c r="I17" s="24">
        <f t="shared" si="6"/>
        <v>115840.1195665875</v>
      </c>
      <c r="J17" s="24">
        <f t="shared" si="7"/>
        <v>270293.61232203752</v>
      </c>
      <c r="K17" s="24">
        <f t="shared" si="8"/>
        <v>350957.71942402504</v>
      </c>
      <c r="L17" s="24">
        <f>D17*0.1</f>
        <v>81899.050145850008</v>
      </c>
      <c r="M17" s="113">
        <f t="shared" si="9"/>
        <v>94988.898044601752</v>
      </c>
      <c r="N17" s="24">
        <f t="shared" si="5"/>
        <v>108117.44492881501</v>
      </c>
      <c r="O17" s="24">
        <f t="shared" si="10"/>
        <v>333409.8334528238</v>
      </c>
      <c r="P17" s="24">
        <f t="shared" si="11"/>
        <v>81080.059644391513</v>
      </c>
      <c r="Q17" s="24"/>
      <c r="R17" s="24">
        <f>Form!E50</f>
        <v>761.82749999999999</v>
      </c>
      <c r="S17" s="417">
        <f>Form!F50</f>
        <v>761.82749999999999</v>
      </c>
      <c r="T17" s="418"/>
      <c r="U17" s="25">
        <f>Form!G50</f>
        <v>0</v>
      </c>
      <c r="V17" s="25">
        <f>Form!H50</f>
        <v>30379.075732675217</v>
      </c>
      <c r="W17" s="25"/>
      <c r="X17" s="24"/>
      <c r="Y17" s="252">
        <f t="shared" si="12"/>
        <v>0.12656240361188142</v>
      </c>
      <c r="Z17" s="24">
        <f t="shared" si="13"/>
        <v>0</v>
      </c>
      <c r="AA17" s="24">
        <f>_xlfn.XLOOKUP(A17,Form!$C$41:$C$52,Form!$K$41:$K$52)</f>
        <v>174.3</v>
      </c>
      <c r="AB17" s="24">
        <f t="shared" si="14"/>
        <v>1809.2340000000002</v>
      </c>
      <c r="AC17" s="24">
        <f>(_xlfn.XLOOKUP(Calculation!$AA$7,Refference!$X$9:$X$17,Refference!$Y$9:$Y$17))*AA17</f>
        <v>17918.04</v>
      </c>
      <c r="AD17" s="24">
        <f t="shared" si="15"/>
        <v>8959.02</v>
      </c>
      <c r="AE17" s="24">
        <f t="shared" si="16"/>
        <v>8959.02</v>
      </c>
      <c r="AF17" s="24">
        <f>AA17*Form!L50</f>
        <v>655285.20750000002</v>
      </c>
      <c r="AG17" s="24">
        <f t="shared" si="17"/>
        <v>8511.0689999999995</v>
      </c>
      <c r="AH17" s="24">
        <f t="shared" si="18"/>
        <v>8063.1180000000004</v>
      </c>
      <c r="AI17" s="24">
        <f t="shared" si="19"/>
        <v>16574.186999999998</v>
      </c>
      <c r="AJ17" s="24">
        <v>0</v>
      </c>
      <c r="AK17" s="24">
        <f t="shared" si="20"/>
        <v>836908.54145850008</v>
      </c>
      <c r="AL17" s="24" t="e">
        <f>_xlfn.XLOOKUP(J17,Form!$C$41:$C$52,Form!$K$41:$K$52)</f>
        <v>#N/A</v>
      </c>
    </row>
    <row r="18" spans="1:38">
      <c r="A18" s="30" t="s">
        <v>73</v>
      </c>
      <c r="B18" s="29">
        <f t="shared" si="21"/>
        <v>2022</v>
      </c>
      <c r="C18" s="24">
        <f>_xlfn.XLOOKUP(A18,Form!$C$41:$C$52,Form!$D$41:$D$52)</f>
        <v>195765.96375</v>
      </c>
      <c r="D18" s="24">
        <f t="shared" si="0"/>
        <v>667953.46831499995</v>
      </c>
      <c r="E18" s="24">
        <f t="shared" si="1"/>
        <v>1005168.0662603573</v>
      </c>
      <c r="F18" s="24">
        <f t="shared" si="2"/>
        <v>775992.36350065481</v>
      </c>
      <c r="G18" s="24">
        <f t="shared" si="3"/>
        <v>584753.70179714286</v>
      </c>
      <c r="H18" s="24">
        <f t="shared" si="4"/>
        <v>216.01642335766422</v>
      </c>
      <c r="I18" s="24">
        <f t="shared" si="6"/>
        <v>115840.1195665875</v>
      </c>
      <c r="J18" s="24">
        <f t="shared" si="7"/>
        <v>270293.61232203752</v>
      </c>
      <c r="K18" s="24">
        <f t="shared" si="8"/>
        <v>148229.04276337495</v>
      </c>
      <c r="L18" s="24">
        <f>D18*0.2</f>
        <v>133590.69366299998</v>
      </c>
      <c r="M18" s="113">
        <f t="shared" si="9"/>
        <v>94988.898044601752</v>
      </c>
      <c r="N18" s="24">
        <f t="shared" si="5"/>
        <v>108117.44492881501</v>
      </c>
      <c r="O18" s="24">
        <f t="shared" si="10"/>
        <v>140817.59062520621</v>
      </c>
      <c r="P18" s="24">
        <f t="shared" si="11"/>
        <v>132254.78672636999</v>
      </c>
      <c r="Q18" s="24"/>
      <c r="R18" s="24">
        <f>Form!E51</f>
        <v>906.255</v>
      </c>
      <c r="S18" s="417">
        <f>Form!F51</f>
        <v>906.255</v>
      </c>
      <c r="T18" s="418"/>
      <c r="U18" s="25">
        <f>Form!G51</f>
        <v>0</v>
      </c>
      <c r="V18" s="25">
        <f>Form!H51</f>
        <v>23104.361672748797</v>
      </c>
      <c r="W18" s="25"/>
      <c r="X18" s="24"/>
      <c r="Y18" s="252">
        <f t="shared" si="12"/>
        <v>0.11802031992779846</v>
      </c>
      <c r="Z18" s="24">
        <f t="shared" si="13"/>
        <v>0</v>
      </c>
      <c r="AA18" s="24">
        <f>_xlfn.XLOOKUP(A18,Form!$C$41:$C$52,Form!$K$41:$K$52)</f>
        <v>136.5</v>
      </c>
      <c r="AB18" s="24">
        <f t="shared" si="14"/>
        <v>1416.8700000000001</v>
      </c>
      <c r="AC18" s="24">
        <f>(_xlfn.XLOOKUP(Calculation!$AA$7,Refference!$X$9:$X$17,Refference!$Y$9:$Y$17))*AA18</f>
        <v>14032.199999999999</v>
      </c>
      <c r="AD18" s="24">
        <f t="shared" si="15"/>
        <v>7016.0999999999995</v>
      </c>
      <c r="AE18" s="24">
        <f t="shared" si="16"/>
        <v>7016.0999999999995</v>
      </c>
      <c r="AF18" s="24">
        <f>AA18*Form!L51</f>
        <v>627097.03874999995</v>
      </c>
      <c r="AG18" s="24">
        <f t="shared" si="17"/>
        <v>6665.2949999999992</v>
      </c>
      <c r="AH18" s="24">
        <f t="shared" si="18"/>
        <v>6314.49</v>
      </c>
      <c r="AI18" s="24">
        <f t="shared" si="19"/>
        <v>12979.785</v>
      </c>
      <c r="AJ18" s="24">
        <v>0</v>
      </c>
      <c r="AK18" s="24">
        <f t="shared" si="20"/>
        <v>681985.6683149999</v>
      </c>
      <c r="AL18" s="24" t="e">
        <f>_xlfn.XLOOKUP(J18,Form!$C$41:$C$52,Form!$K$41:$K$52)</f>
        <v>#N/A</v>
      </c>
    </row>
    <row r="19" spans="1:38">
      <c r="A19" s="30" t="s">
        <v>72</v>
      </c>
      <c r="B19" s="29">
        <f t="shared" si="21"/>
        <v>2022</v>
      </c>
      <c r="C19" s="24">
        <f>_xlfn.XLOOKUP(A19,Form!$C$41:$C$52,Form!$D$41:$D$52)</f>
        <v>240545.21399999998</v>
      </c>
      <c r="D19" s="24">
        <f t="shared" si="0"/>
        <v>820740.2701679999</v>
      </c>
      <c r="E19" s="24">
        <f t="shared" si="1"/>
        <v>1005168.0662603573</v>
      </c>
      <c r="F19" s="24">
        <f t="shared" si="2"/>
        <v>775992.36350065481</v>
      </c>
      <c r="G19" s="24">
        <f t="shared" si="3"/>
        <v>584753.70179714286</v>
      </c>
      <c r="H19" s="24">
        <f t="shared" si="4"/>
        <v>258.50900473933649</v>
      </c>
      <c r="I19" s="24">
        <f t="shared" si="6"/>
        <v>115840.1195665875</v>
      </c>
      <c r="J19" s="24">
        <f t="shared" si="7"/>
        <v>270293.61232203752</v>
      </c>
      <c r="K19" s="24">
        <f t="shared" si="8"/>
        <v>229421.47073737491</v>
      </c>
      <c r="L19" s="24">
        <f>D19*0.25</f>
        <v>205185.06754199998</v>
      </c>
      <c r="M19" s="113">
        <f t="shared" si="9"/>
        <v>94988.898044601752</v>
      </c>
      <c r="N19" s="24">
        <f t="shared" si="5"/>
        <v>108117.44492881501</v>
      </c>
      <c r="O19" s="24">
        <f t="shared" si="10"/>
        <v>217950.39720050618</v>
      </c>
      <c r="P19" s="24">
        <f t="shared" si="11"/>
        <v>203133.21686657998</v>
      </c>
      <c r="Q19" s="24"/>
      <c r="R19" s="24">
        <f>Form!E52</f>
        <v>930.51</v>
      </c>
      <c r="S19" s="417">
        <f>Form!F52</f>
        <v>930.51</v>
      </c>
      <c r="T19" s="418"/>
      <c r="U19" s="25">
        <f>Form!G52</f>
        <v>0</v>
      </c>
      <c r="V19" s="25">
        <f>Form!H52</f>
        <v>25280.050652998154</v>
      </c>
      <c r="W19" s="25"/>
      <c r="X19" s="24"/>
      <c r="Y19" s="252">
        <f t="shared" si="12"/>
        <v>0.10509479790771541</v>
      </c>
      <c r="Z19" s="24">
        <f t="shared" si="13"/>
        <v>0</v>
      </c>
      <c r="AA19" s="24">
        <f>_xlfn.XLOOKUP(A19,Form!$C$41:$C$52,Form!$K$41:$K$52)</f>
        <v>790.65</v>
      </c>
      <c r="AB19" s="24">
        <f t="shared" si="14"/>
        <v>8206.9470000000001</v>
      </c>
      <c r="AC19" s="24">
        <f>(_xlfn.XLOOKUP(Calculation!$AA$7,Refference!$X$9:$X$17,Refference!$Y$9:$Y$17))*AA19</f>
        <v>81278.819999999992</v>
      </c>
      <c r="AD19" s="24">
        <f t="shared" si="15"/>
        <v>40639.409999999996</v>
      </c>
      <c r="AE19" s="24">
        <f t="shared" si="16"/>
        <v>40639.409999999996</v>
      </c>
      <c r="AF19" s="24">
        <f>AA19*Form!L52</f>
        <v>2860891.9132499998</v>
      </c>
      <c r="AG19" s="24">
        <f t="shared" si="17"/>
        <v>38607.439499999993</v>
      </c>
      <c r="AH19" s="24">
        <f t="shared" si="18"/>
        <v>36575.468999999997</v>
      </c>
      <c r="AI19" s="24">
        <f t="shared" si="19"/>
        <v>75182.90849999999</v>
      </c>
      <c r="AJ19" s="24">
        <v>0</v>
      </c>
      <c r="AK19" s="24">
        <f t="shared" si="20"/>
        <v>902019.09016799985</v>
      </c>
      <c r="AL19" s="24" t="e">
        <f>_xlfn.XLOOKUP(J19,Form!$C$41:$C$52,Form!$K$41:$K$52)</f>
        <v>#N/A</v>
      </c>
    </row>
    <row r="20" spans="1:38">
      <c r="A20" s="28" t="s">
        <v>71</v>
      </c>
      <c r="B20" s="27"/>
      <c r="C20" s="24">
        <f>SUM(C8:C19)</f>
        <v>2716063.7647500001</v>
      </c>
      <c r="D20" s="24">
        <f t="shared" si="0"/>
        <v>9267209.5653269999</v>
      </c>
      <c r="E20" s="24"/>
      <c r="F20" s="24"/>
      <c r="G20" s="24"/>
      <c r="H20" s="24">
        <f t="shared" ref="H20:P20" si="22">SUM(H8:H19)</f>
        <v>3242.8394256783572</v>
      </c>
      <c r="I20" s="24">
        <f t="shared" si="22"/>
        <v>1390081.43479905</v>
      </c>
      <c r="J20" s="24">
        <f t="shared" si="22"/>
        <v>3243523.3478644504</v>
      </c>
      <c r="K20" s="24">
        <f t="shared" si="22"/>
        <v>3287689.3665059842</v>
      </c>
      <c r="L20" s="24">
        <f t="shared" si="22"/>
        <v>1345915.4161575148</v>
      </c>
      <c r="M20" s="24">
        <f t="shared" si="22"/>
        <v>1139866.7765352211</v>
      </c>
      <c r="N20" s="24">
        <f t="shared" si="22"/>
        <v>1297409.3391457801</v>
      </c>
      <c r="O20" s="24">
        <f t="shared" si="22"/>
        <v>3123304.898180685</v>
      </c>
      <c r="P20" s="24">
        <f t="shared" si="22"/>
        <v>1332456.26199594</v>
      </c>
      <c r="Q20" s="24"/>
      <c r="R20" s="26"/>
      <c r="S20" s="441"/>
      <c r="T20" s="442"/>
      <c r="U20" s="25">
        <f>SUM(U8:U19)</f>
        <v>0</v>
      </c>
      <c r="V20" s="25">
        <f>SUM(V8:V19)</f>
        <v>275614.60255728231</v>
      </c>
      <c r="W20" s="25"/>
      <c r="X20" s="25"/>
      <c r="Y20" s="252">
        <f>V20/C20</f>
        <v>0.10147574815227184</v>
      </c>
      <c r="Z20" s="25">
        <f>SUM(Z8:Z19)</f>
        <v>0</v>
      </c>
      <c r="AA20" s="24">
        <f t="shared" ref="AA20:AJ20" si="23">SUM(AA8:AA19)</f>
        <v>4702.2</v>
      </c>
      <c r="AB20" s="24">
        <f t="shared" si="23"/>
        <v>48808.835999999988</v>
      </c>
      <c r="AC20" s="24">
        <f t="shared" si="23"/>
        <v>483386.16</v>
      </c>
      <c r="AD20" s="24">
        <f t="shared" ref="AD20:AH20" si="24">SUM(AD8:AD19)</f>
        <v>241693.08</v>
      </c>
      <c r="AE20" s="24">
        <f t="shared" si="24"/>
        <v>241693.08</v>
      </c>
      <c r="AF20" s="24">
        <f t="shared" si="23"/>
        <v>10555102.207125001</v>
      </c>
      <c r="AG20" s="24">
        <f t="shared" si="24"/>
        <v>229608.42599999998</v>
      </c>
      <c r="AH20" s="24">
        <f t="shared" si="24"/>
        <v>217523.772</v>
      </c>
      <c r="AI20" s="24">
        <f t="shared" si="23"/>
        <v>447132.19799999997</v>
      </c>
      <c r="AJ20" s="24">
        <f t="shared" si="23"/>
        <v>0</v>
      </c>
      <c r="AK20" s="24">
        <f t="shared" ref="AK20:AL20" si="25">SUM(AK8:AK19)</f>
        <v>9750595.725327</v>
      </c>
      <c r="AL20" s="24" t="e">
        <f t="shared" si="25"/>
        <v>#N/A</v>
      </c>
    </row>
    <row r="21" spans="1:38">
      <c r="AF21" s="1" t="s">
        <v>55</v>
      </c>
      <c r="AG21" s="245">
        <v>0.05</v>
      </c>
      <c r="AH21" s="245">
        <v>0.1</v>
      </c>
    </row>
    <row r="22" spans="1:38">
      <c r="L22" s="1" t="s">
        <v>212</v>
      </c>
      <c r="M22" s="111">
        <v>0.18</v>
      </c>
      <c r="N22" s="112">
        <v>0.6</v>
      </c>
      <c r="O22" s="112">
        <v>0.05</v>
      </c>
      <c r="P22" s="112">
        <v>0.01</v>
      </c>
    </row>
    <row r="23" spans="1:38">
      <c r="A23" s="3">
        <f>B3</f>
        <v>0</v>
      </c>
      <c r="V23" s="1" t="s">
        <v>14</v>
      </c>
      <c r="W23" s="39" t="e">
        <f>Z3*1</f>
        <v>#VALUE!</v>
      </c>
      <c r="X23" s="40" t="str">
        <f>Z3</f>
        <v> 313,700          </v>
      </c>
      <c r="Y23" s="1" t="s">
        <v>13</v>
      </c>
      <c r="AA23" s="20">
        <v>0</v>
      </c>
    </row>
    <row r="24" spans="1:38">
      <c r="A24" s="3"/>
      <c r="T24" s="1" t="s">
        <v>51</v>
      </c>
      <c r="U24" s="1" t="s">
        <v>50</v>
      </c>
      <c r="V24" s="1" t="s">
        <v>49</v>
      </c>
      <c r="W24" s="1" t="s">
        <v>48</v>
      </c>
      <c r="X24" s="1" t="s">
        <v>47</v>
      </c>
      <c r="AA24" s="20"/>
    </row>
    <row r="25" spans="1:38">
      <c r="A25" s="3"/>
      <c r="T25" s="1">
        <f>AA23</f>
        <v>0</v>
      </c>
      <c r="U25" s="6"/>
      <c r="AA25" s="20"/>
    </row>
    <row r="26" spans="1:38">
      <c r="A26" s="3"/>
      <c r="AA26" s="20"/>
    </row>
    <row r="27" spans="1:38">
      <c r="A27" s="3"/>
      <c r="AA27" s="20"/>
    </row>
    <row r="28" spans="1:38">
      <c r="A28" s="3"/>
      <c r="B28" s="1" t="s">
        <v>70</v>
      </c>
      <c r="C28" s="1" t="s">
        <v>31</v>
      </c>
      <c r="D28" s="1" t="s">
        <v>30</v>
      </c>
      <c r="E28" s="1" t="s">
        <v>29</v>
      </c>
      <c r="F28" s="1" t="s">
        <v>28</v>
      </c>
      <c r="G28" s="1" t="s">
        <v>27</v>
      </c>
      <c r="AA28" s="20"/>
    </row>
    <row r="29" spans="1:38">
      <c r="A29" s="3" t="s">
        <v>4</v>
      </c>
      <c r="B29" s="6">
        <f>D20*0.15</f>
        <v>1390081.43479905</v>
      </c>
      <c r="C29" s="36">
        <f>D20*0.35</f>
        <v>3243523.34786445</v>
      </c>
      <c r="D29" s="6">
        <f>K20</f>
        <v>3287689.3665059842</v>
      </c>
      <c r="E29" s="36">
        <f>D20-D29-C29-B29</f>
        <v>1345915.4161575157</v>
      </c>
      <c r="F29" s="36">
        <f>AC20</f>
        <v>483386.16</v>
      </c>
      <c r="G29" s="36">
        <f>D20+AC20</f>
        <v>9750595.725327</v>
      </c>
      <c r="AA29" s="20"/>
    </row>
    <row r="30" spans="1:38">
      <c r="A30" s="3" t="s">
        <v>24</v>
      </c>
      <c r="B30" s="21">
        <f>B29/$C$36</f>
        <v>9.9291531057074991</v>
      </c>
      <c r="C30" s="21">
        <f>C29/$C$36</f>
        <v>23.168023913317501</v>
      </c>
      <c r="D30" s="21">
        <f>D29/$C$36</f>
        <v>23.483495475042744</v>
      </c>
      <c r="E30" s="21">
        <f>E29/$C$36</f>
        <v>9.6136815439822545</v>
      </c>
      <c r="F30" s="21"/>
      <c r="G30" s="21"/>
      <c r="R30" s="1" t="s">
        <v>69</v>
      </c>
      <c r="T30" s="4">
        <f>Z20/C20</f>
        <v>0</v>
      </c>
      <c r="AA30" s="20"/>
    </row>
    <row r="31" spans="1:38" ht="14.5">
      <c r="A31" s="3" t="s">
        <v>1</v>
      </c>
      <c r="B31" s="23">
        <f>B44</f>
        <v>0</v>
      </c>
      <c r="C31" s="23">
        <f>C44</f>
        <v>0</v>
      </c>
      <c r="D31" s="23">
        <f>D44</f>
        <v>0</v>
      </c>
      <c r="E31" s="23">
        <f>E43*T30</f>
        <v>0</v>
      </c>
      <c r="F31" s="23"/>
      <c r="G31" s="23">
        <f>Z20</f>
        <v>0</v>
      </c>
      <c r="R31" s="1" t="s">
        <v>68</v>
      </c>
      <c r="T31" s="22">
        <f>(F31/F29)*1000</f>
        <v>0</v>
      </c>
      <c r="AA31" s="20"/>
    </row>
    <row r="32" spans="1:38">
      <c r="A32" s="3" t="s">
        <v>3</v>
      </c>
      <c r="B32" s="6">
        <f>B29/3.412</f>
        <v>407409.56471250003</v>
      </c>
      <c r="C32" s="6">
        <f>C29/3.412</f>
        <v>950622.31766249996</v>
      </c>
      <c r="D32" s="6">
        <f>D29/3.412</f>
        <v>963566.63731124974</v>
      </c>
      <c r="E32" s="6">
        <f>E29/3.412</f>
        <v>394465.24506375025</v>
      </c>
      <c r="F32" s="6"/>
      <c r="G32" s="36">
        <f>C20</f>
        <v>2716063.7647500001</v>
      </c>
      <c r="AA32" s="20"/>
    </row>
    <row r="33" spans="1:27">
      <c r="A33" s="3" t="s">
        <v>19</v>
      </c>
      <c r="Q33" s="4"/>
      <c r="AA33" s="20"/>
    </row>
    <row r="34" spans="1:27">
      <c r="V34" s="38"/>
      <c r="W34" s="4"/>
      <c r="AA34" s="20"/>
    </row>
    <row r="35" spans="1:27">
      <c r="V35" s="37"/>
      <c r="AA35" s="20"/>
    </row>
    <row r="36" spans="1:27">
      <c r="A36" s="1" t="s">
        <v>14</v>
      </c>
      <c r="C36" s="1">
        <f>Form!L12</f>
        <v>140000</v>
      </c>
      <c r="AA36" s="20"/>
    </row>
    <row r="37" spans="1:27">
      <c r="A37" s="1" t="s">
        <v>108</v>
      </c>
      <c r="C37" s="6">
        <f>G29*2.8</f>
        <v>27301668.030915599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AA37" s="20"/>
    </row>
    <row r="38" spans="1:27">
      <c r="A38" s="3" t="s">
        <v>107</v>
      </c>
      <c r="C38" s="37">
        <f>C37/C36</f>
        <v>195.01191450653999</v>
      </c>
      <c r="AA38" s="20"/>
    </row>
    <row r="39" spans="1:27" ht="14">
      <c r="A39" s="397" t="s">
        <v>55</v>
      </c>
      <c r="B39" s="398"/>
      <c r="C39" s="398"/>
      <c r="D39" s="398"/>
      <c r="E39" s="398"/>
      <c r="F39" s="398"/>
      <c r="G39" s="398"/>
      <c r="H39" s="398"/>
      <c r="I39" s="398"/>
      <c r="AA39" s="20"/>
    </row>
    <row r="40" spans="1:27">
      <c r="A40" s="3"/>
      <c r="B40" s="7" t="s">
        <v>12</v>
      </c>
      <c r="C40" s="7"/>
      <c r="D40" s="7"/>
      <c r="E40" s="7"/>
      <c r="F40" s="7"/>
      <c r="G40" s="7" t="s">
        <v>11</v>
      </c>
      <c r="H40" s="7"/>
      <c r="I40" s="7"/>
      <c r="J40" s="7"/>
      <c r="K40" s="7"/>
      <c r="L40" s="7"/>
      <c r="M40" s="7"/>
      <c r="N40" s="7"/>
      <c r="O40" s="7"/>
      <c r="P40" s="7"/>
      <c r="AA40" s="20"/>
    </row>
    <row r="41" spans="1:27">
      <c r="A41" s="3"/>
      <c r="B41" s="1" t="s">
        <v>10</v>
      </c>
      <c r="C41" s="1" t="s">
        <v>9</v>
      </c>
      <c r="D41" s="1" t="s">
        <v>8</v>
      </c>
      <c r="E41" s="1" t="s">
        <v>7</v>
      </c>
      <c r="G41" s="1" t="s">
        <v>6</v>
      </c>
      <c r="H41" s="1" t="s">
        <v>5</v>
      </c>
      <c r="AA41" s="20"/>
    </row>
    <row r="42" spans="1:27">
      <c r="A42" s="3" t="s">
        <v>4</v>
      </c>
      <c r="B42" s="6">
        <f>B29</f>
        <v>1390081.43479905</v>
      </c>
      <c r="C42" s="6">
        <f>C29</f>
        <v>3243523.34786445</v>
      </c>
      <c r="D42" s="6">
        <f>D29</f>
        <v>3287689.3665059842</v>
      </c>
      <c r="E42" s="1">
        <f>E29</f>
        <v>1345915.4161575157</v>
      </c>
      <c r="F42" s="102" t="s">
        <v>4</v>
      </c>
      <c r="G42" s="1">
        <f>F29*0.42</f>
        <v>203022.18719999999</v>
      </c>
      <c r="H42" s="1">
        <f>F29-G42</f>
        <v>280363.97279999999</v>
      </c>
      <c r="AA42" s="20"/>
    </row>
    <row r="43" spans="1:27">
      <c r="A43" s="3" t="s">
        <v>3</v>
      </c>
      <c r="B43" s="6">
        <f>B32</f>
        <v>407409.56471250003</v>
      </c>
      <c r="C43" s="6">
        <f>C32</f>
        <v>950622.31766249996</v>
      </c>
      <c r="D43" s="6">
        <f>D32</f>
        <v>963566.63731124974</v>
      </c>
      <c r="E43" s="6">
        <f>E32</f>
        <v>394465.24506375025</v>
      </c>
      <c r="F43" s="102" t="s">
        <v>2</v>
      </c>
      <c r="G43" s="6">
        <f>G42/1000</f>
        <v>203.02218719999999</v>
      </c>
      <c r="H43" s="6">
        <f>H42/1000</f>
        <v>280.3639728</v>
      </c>
      <c r="I43" s="6"/>
      <c r="J43" s="6"/>
      <c r="K43" s="6"/>
      <c r="L43" s="6"/>
      <c r="M43" s="6"/>
      <c r="N43" s="6"/>
      <c r="O43" s="6"/>
      <c r="P43" s="6"/>
      <c r="AA43" s="20"/>
    </row>
    <row r="44" spans="1:27">
      <c r="A44" s="3" t="s">
        <v>1</v>
      </c>
      <c r="B44" s="4">
        <f>$T$30*B43</f>
        <v>0</v>
      </c>
      <c r="C44" s="4">
        <f>$T$30*C43</f>
        <v>0</v>
      </c>
      <c r="D44" s="4">
        <f>$T$30*D43</f>
        <v>0</v>
      </c>
      <c r="E44" s="5">
        <f>E43*T30</f>
        <v>0</v>
      </c>
      <c r="F44" s="102" t="s">
        <v>1</v>
      </c>
      <c r="G44" s="4">
        <f>T31*G43</f>
        <v>0</v>
      </c>
      <c r="H44" s="4">
        <f>T31*H43</f>
        <v>0</v>
      </c>
      <c r="I44" s="4"/>
      <c r="J44" s="4"/>
      <c r="K44" s="4"/>
      <c r="L44" s="4"/>
      <c r="M44" s="4"/>
      <c r="N44" s="4"/>
      <c r="O44" s="4"/>
      <c r="P44" s="4"/>
      <c r="AA44" s="20"/>
    </row>
    <row r="45" spans="1:27">
      <c r="A45" s="3" t="s">
        <v>0</v>
      </c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AA45" s="20"/>
    </row>
    <row r="46" spans="1:27">
      <c r="A46" s="3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AA46" s="20"/>
    </row>
    <row r="47" spans="1:27">
      <c r="A47" s="3"/>
      <c r="AA47" s="20"/>
    </row>
    <row r="48" spans="1:27">
      <c r="A48" s="427" t="s">
        <v>64</v>
      </c>
      <c r="B48" s="428"/>
      <c r="C48" s="6">
        <f>D43</f>
        <v>963566.63731124974</v>
      </c>
      <c r="Q48" s="6"/>
      <c r="R48" s="7" t="s">
        <v>63</v>
      </c>
      <c r="S48" s="7"/>
      <c r="T48" s="6">
        <f>E43+C43+B43</f>
        <v>1752497.1274387501</v>
      </c>
      <c r="U48" s="1" t="s">
        <v>62</v>
      </c>
      <c r="V48" s="6">
        <f>G43+H43</f>
        <v>483.38616000000002</v>
      </c>
      <c r="AA48" s="20"/>
    </row>
    <row r="49" spans="1:27">
      <c r="A49" s="421" t="s">
        <v>60</v>
      </c>
      <c r="B49" s="422"/>
      <c r="C49" s="21">
        <f>D44</f>
        <v>0</v>
      </c>
      <c r="D49" s="18"/>
      <c r="E49" s="18"/>
      <c r="F49" s="18"/>
      <c r="G49" s="18"/>
      <c r="H49" s="18"/>
      <c r="Q49" s="21"/>
      <c r="R49" s="7" t="s">
        <v>59</v>
      </c>
      <c r="S49" s="7"/>
      <c r="T49" s="5">
        <f>E44+C44+B44</f>
        <v>0</v>
      </c>
      <c r="U49" s="1" t="s">
        <v>58</v>
      </c>
      <c r="V49" s="4">
        <f>G44+H44</f>
        <v>0</v>
      </c>
      <c r="W49" s="18"/>
      <c r="X49" s="18"/>
      <c r="Y49" s="18"/>
      <c r="Z49" s="18"/>
      <c r="AA49" s="17"/>
    </row>
    <row r="50" spans="1:27">
      <c r="A50" s="421" t="s">
        <v>54</v>
      </c>
      <c r="B50" s="422"/>
      <c r="C50" s="1">
        <f>R45</f>
        <v>0</v>
      </c>
      <c r="R50" s="7" t="s">
        <v>53</v>
      </c>
      <c r="S50" s="7"/>
      <c r="T50" s="1">
        <f>(C45+B45)*0.85</f>
        <v>0</v>
      </c>
    </row>
    <row r="51" spans="1:27">
      <c r="A51" s="421" t="s">
        <v>52</v>
      </c>
      <c r="B51" s="422"/>
    </row>
    <row r="52" spans="1:27">
      <c r="A52" s="19"/>
      <c r="B52" s="18"/>
      <c r="C52" s="18"/>
    </row>
    <row r="54" spans="1:27">
      <c r="A54" s="1" t="s">
        <v>113</v>
      </c>
    </row>
    <row r="56" spans="1:27" ht="15.5">
      <c r="A56" s="420" t="s">
        <v>114</v>
      </c>
      <c r="B56" s="420"/>
      <c r="C56" s="43" t="s">
        <v>115</v>
      </c>
      <c r="D56" s="43" t="s">
        <v>116</v>
      </c>
      <c r="E56" s="43" t="s">
        <v>117</v>
      </c>
    </row>
    <row r="57" spans="1:27" ht="16.5" customHeight="1">
      <c r="A57" s="394" t="s">
        <v>118</v>
      </c>
      <c r="B57" s="394"/>
      <c r="C57" s="49">
        <v>114.7</v>
      </c>
      <c r="D57" s="52">
        <v>25.71</v>
      </c>
      <c r="E57" s="49">
        <v>241.8</v>
      </c>
    </row>
    <row r="58" spans="1:27" ht="16.5" customHeight="1">
      <c r="A58" s="394" t="s">
        <v>119</v>
      </c>
      <c r="B58" s="394"/>
      <c r="C58" s="47">
        <v>0.79669999999999996</v>
      </c>
      <c r="D58" s="47">
        <v>0.11940000000000001</v>
      </c>
      <c r="E58" s="53">
        <v>1.885</v>
      </c>
    </row>
    <row r="59" spans="1:27" ht="16.5" customHeight="1">
      <c r="A59" s="406" t="s">
        <v>120</v>
      </c>
      <c r="B59" s="406"/>
      <c r="C59" s="48">
        <v>3597</v>
      </c>
      <c r="D59" s="51">
        <v>0</v>
      </c>
      <c r="E59" s="48">
        <v>10744</v>
      </c>
    </row>
    <row r="60" spans="1:27" ht="16.5" customHeight="1">
      <c r="A60" s="406" t="s">
        <v>121</v>
      </c>
      <c r="B60" s="406"/>
      <c r="C60" s="48">
        <v>1472</v>
      </c>
      <c r="D60" s="51">
        <v>0</v>
      </c>
      <c r="E60" s="48">
        <v>4883</v>
      </c>
    </row>
    <row r="61" spans="1:27" ht="14">
      <c r="A61" s="406" t="s">
        <v>122</v>
      </c>
      <c r="B61" s="406"/>
      <c r="C61" s="47">
        <v>0.63900000000000001</v>
      </c>
      <c r="D61" s="51">
        <v>0</v>
      </c>
      <c r="E61" s="51">
        <v>1</v>
      </c>
    </row>
    <row r="62" spans="1:27" ht="16.5" customHeight="1">
      <c r="A62" s="406" t="s">
        <v>123</v>
      </c>
      <c r="B62" s="406"/>
      <c r="C62" s="47">
        <v>0.26190000000000002</v>
      </c>
      <c r="D62" s="51">
        <v>0</v>
      </c>
      <c r="E62" s="51">
        <v>1</v>
      </c>
    </row>
    <row r="63" spans="1:27" ht="16.5" customHeight="1">
      <c r="A63" s="406" t="s">
        <v>124</v>
      </c>
      <c r="B63" s="406"/>
      <c r="C63" s="47">
        <v>0.25769999999999998</v>
      </c>
      <c r="D63" s="51">
        <v>0</v>
      </c>
      <c r="E63" s="51">
        <v>1</v>
      </c>
    </row>
    <row r="66" spans="1:25" ht="15.75" customHeight="1">
      <c r="A66" s="419" t="s">
        <v>145</v>
      </c>
      <c r="B66" s="419"/>
      <c r="C66" s="419"/>
      <c r="D66" s="419"/>
      <c r="E66" s="100"/>
      <c r="F66" s="100"/>
      <c r="G66" s="100"/>
    </row>
    <row r="67" spans="1:25" ht="16.5" customHeight="1">
      <c r="A67" s="408" t="s">
        <v>125</v>
      </c>
      <c r="B67" s="408"/>
      <c r="C67" s="59" t="s">
        <v>126</v>
      </c>
      <c r="D67" s="59"/>
      <c r="E67" s="45"/>
      <c r="F67" s="45"/>
      <c r="G67" s="45"/>
    </row>
    <row r="68" spans="1:25" ht="16.5" customHeight="1">
      <c r="A68" s="406" t="s">
        <v>127</v>
      </c>
      <c r="B68" s="406"/>
      <c r="C68" s="50">
        <v>350</v>
      </c>
      <c r="D68" s="51"/>
      <c r="E68" s="51"/>
      <c r="F68" s="51"/>
      <c r="G68" s="51"/>
    </row>
    <row r="69" spans="1:25" ht="14.5">
      <c r="A69" s="394" t="s">
        <v>128</v>
      </c>
      <c r="B69" s="394"/>
      <c r="C69" s="42">
        <v>0.21199999999999999</v>
      </c>
      <c r="D69" s="47"/>
      <c r="E69" s="47"/>
      <c r="F69" s="47"/>
      <c r="G69" s="47"/>
    </row>
    <row r="70" spans="1:25" ht="14.5">
      <c r="A70" s="394" t="s">
        <v>129</v>
      </c>
      <c r="B70" s="394"/>
      <c r="C70" s="42">
        <v>0.1983</v>
      </c>
      <c r="D70" s="47"/>
      <c r="E70" s="47"/>
      <c r="F70" s="47"/>
      <c r="G70" s="47"/>
    </row>
    <row r="71" spans="1:25" ht="14">
      <c r="A71" s="406" t="s">
        <v>130</v>
      </c>
      <c r="B71" s="406"/>
      <c r="C71" s="41">
        <v>15.38</v>
      </c>
      <c r="D71" s="52"/>
      <c r="E71" s="52"/>
      <c r="F71" s="52"/>
      <c r="G71" s="52"/>
    </row>
    <row r="72" spans="1:25" ht="16.5" customHeight="1">
      <c r="A72" s="409" t="s">
        <v>131</v>
      </c>
      <c r="B72" s="409"/>
      <c r="C72" s="58" t="s">
        <v>132</v>
      </c>
      <c r="D72" s="54"/>
      <c r="E72" s="44"/>
      <c r="F72" s="44"/>
      <c r="G72" s="44"/>
    </row>
    <row r="73" spans="1:25" ht="16.5" customHeight="1">
      <c r="A73" s="60"/>
      <c r="B73" s="60"/>
      <c r="C73" s="410" t="s">
        <v>133</v>
      </c>
      <c r="D73" s="410"/>
      <c r="E73" s="57" t="s">
        <v>134</v>
      </c>
      <c r="F73" s="57" t="s">
        <v>135</v>
      </c>
      <c r="G73" s="410" t="s">
        <v>136</v>
      </c>
      <c r="H73" s="410"/>
      <c r="I73" s="109"/>
      <c r="J73" s="109"/>
      <c r="K73" s="109"/>
      <c r="L73" s="109"/>
      <c r="M73" s="109"/>
      <c r="N73" s="109"/>
      <c r="O73" s="109"/>
      <c r="P73" s="109"/>
    </row>
    <row r="74" spans="1:25" ht="14">
      <c r="A74" s="115" t="s">
        <v>137</v>
      </c>
      <c r="B74" s="115"/>
      <c r="C74" s="411">
        <v>101.7</v>
      </c>
      <c r="D74" s="411"/>
      <c r="E74" s="61">
        <v>4.4379999999999997</v>
      </c>
      <c r="F74" s="62">
        <v>22.92</v>
      </c>
      <c r="G74" s="416" t="s">
        <v>138</v>
      </c>
      <c r="H74" s="416"/>
      <c r="I74" s="46"/>
      <c r="J74" s="46"/>
      <c r="K74" s="46"/>
      <c r="L74" s="46"/>
      <c r="M74" s="46"/>
      <c r="N74" s="46"/>
      <c r="O74" s="46"/>
      <c r="P74" s="46"/>
    </row>
    <row r="75" spans="1:25" ht="16.5" customHeight="1">
      <c r="A75" s="394" t="s">
        <v>139</v>
      </c>
      <c r="B75" s="394"/>
      <c r="C75" s="412">
        <v>25.61</v>
      </c>
      <c r="D75" s="412"/>
      <c r="E75" s="53">
        <v>6.9939999999999998</v>
      </c>
      <c r="F75" s="53">
        <v>3.661</v>
      </c>
      <c r="G75" s="405">
        <v>2.9999999999999997E-4</v>
      </c>
      <c r="H75" s="405"/>
      <c r="I75" s="42"/>
      <c r="J75" s="42"/>
      <c r="K75" s="42"/>
      <c r="L75" s="42"/>
      <c r="M75" s="42"/>
      <c r="N75" s="42"/>
      <c r="O75" s="42"/>
      <c r="P75" s="42"/>
    </row>
    <row r="76" spans="1:25" ht="16.5" customHeight="1">
      <c r="A76" s="406" t="s">
        <v>140</v>
      </c>
      <c r="B76" s="406"/>
      <c r="C76" s="413">
        <v>8.3700000000000007E-3</v>
      </c>
      <c r="D76" s="413"/>
      <c r="E76" s="56">
        <v>1.48E-3</v>
      </c>
      <c r="F76" s="53">
        <v>5.6539999999999999</v>
      </c>
      <c r="G76" s="404" t="s">
        <v>138</v>
      </c>
      <c r="H76" s="404"/>
      <c r="I76" s="46"/>
      <c r="J76" s="46"/>
      <c r="K76" s="46"/>
      <c r="L76" s="46"/>
      <c r="M76" s="46"/>
      <c r="N76" s="46"/>
      <c r="O76" s="46"/>
      <c r="P76" s="46"/>
      <c r="V76" s="1" t="s">
        <v>180</v>
      </c>
    </row>
    <row r="77" spans="1:25" ht="16.5" customHeight="1">
      <c r="A77" s="406" t="s">
        <v>141</v>
      </c>
      <c r="B77" s="406"/>
      <c r="C77" s="414">
        <v>2.0590000000000001E-2</v>
      </c>
      <c r="D77" s="414"/>
      <c r="E77" s="56">
        <v>2.6199999999999999E-3</v>
      </c>
      <c r="F77" s="53">
        <v>7.8639999999999999</v>
      </c>
      <c r="G77" s="404" t="s">
        <v>138</v>
      </c>
      <c r="H77" s="404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V77" s="392" t="s">
        <v>162</v>
      </c>
      <c r="W77" s="392"/>
      <c r="X77" s="393" t="s">
        <v>163</v>
      </c>
      <c r="Y77" s="393"/>
    </row>
    <row r="78" spans="1:25" ht="14">
      <c r="A78" s="114" t="s">
        <v>142</v>
      </c>
      <c r="B78" s="114"/>
      <c r="C78" s="415">
        <v>8.1820000000000004</v>
      </c>
      <c r="D78" s="415"/>
      <c r="E78" s="53">
        <v>4.9000000000000004</v>
      </c>
      <c r="F78" s="53">
        <v>1.67</v>
      </c>
      <c r="G78" s="405">
        <v>9.5899999999999999E-2</v>
      </c>
      <c r="H78" s="405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V78" s="385" t="s">
        <v>164</v>
      </c>
      <c r="W78" s="385"/>
      <c r="X78" s="407" t="s">
        <v>165</v>
      </c>
      <c r="Y78" s="407"/>
    </row>
    <row r="79" spans="1:25" ht="14">
      <c r="A79" s="406" t="s">
        <v>143</v>
      </c>
      <c r="B79" s="406"/>
      <c r="C79" s="412">
        <v>15.66</v>
      </c>
      <c r="D79" s="412"/>
      <c r="E79" s="53">
        <v>5.2960000000000003</v>
      </c>
      <c r="F79" s="53">
        <v>2.96</v>
      </c>
      <c r="G79" s="405">
        <v>3.3E-3</v>
      </c>
      <c r="H79" s="405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V79" s="385" t="s">
        <v>166</v>
      </c>
      <c r="W79" s="385"/>
      <c r="X79" s="407" t="s">
        <v>167</v>
      </c>
      <c r="Y79" s="407"/>
    </row>
    <row r="80" spans="1:25" ht="25.5" customHeight="1">
      <c r="A80" s="406" t="s">
        <v>144</v>
      </c>
      <c r="B80" s="406"/>
      <c r="C80" s="412">
        <v>14.08</v>
      </c>
      <c r="D80" s="412"/>
      <c r="E80" s="53">
        <v>5.5880000000000001</v>
      </c>
      <c r="F80" s="53">
        <v>2.52</v>
      </c>
      <c r="G80" s="405">
        <v>1.2200000000000001E-2</v>
      </c>
      <c r="H80" s="405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V80" s="75" t="s">
        <v>168</v>
      </c>
      <c r="W80" s="75"/>
      <c r="X80" s="393" t="s">
        <v>163</v>
      </c>
      <c r="Y80" s="393"/>
    </row>
    <row r="81" spans="1:25" ht="15" customHeight="1">
      <c r="V81" s="394" t="s">
        <v>169</v>
      </c>
      <c r="W81" s="394"/>
      <c r="X81" s="386">
        <v>100000</v>
      </c>
      <c r="Y81" s="386"/>
    </row>
    <row r="82" spans="1:25">
      <c r="V82" s="385" t="s">
        <v>170</v>
      </c>
      <c r="W82" s="385"/>
      <c r="X82" s="407" t="s">
        <v>171</v>
      </c>
      <c r="Y82" s="407"/>
    </row>
    <row r="83" spans="1:25" ht="16.5" customHeight="1">
      <c r="A83" s="63" t="s">
        <v>160</v>
      </c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385" t="s">
        <v>172</v>
      </c>
      <c r="W83" s="385"/>
      <c r="X83" s="407" t="s">
        <v>171</v>
      </c>
      <c r="Y83" s="407"/>
    </row>
    <row r="84" spans="1:25" ht="28.5" customHeight="1">
      <c r="A84" s="67" t="s">
        <v>146</v>
      </c>
      <c r="B84" s="67"/>
      <c r="C84" s="67"/>
      <c r="D84" s="67" t="s">
        <v>147</v>
      </c>
      <c r="E84" s="67" t="s">
        <v>148</v>
      </c>
      <c r="F84" s="403" t="s">
        <v>149</v>
      </c>
      <c r="G84" s="403"/>
      <c r="H84" s="67" t="s">
        <v>150</v>
      </c>
      <c r="I84" s="67"/>
      <c r="J84" s="67"/>
      <c r="K84" s="67"/>
      <c r="L84" s="67"/>
      <c r="M84" s="67"/>
      <c r="N84" s="67"/>
      <c r="O84" s="67"/>
      <c r="P84" s="67"/>
      <c r="Q84" s="67" t="s">
        <v>151</v>
      </c>
      <c r="R84" s="103"/>
      <c r="S84" s="103"/>
      <c r="T84" s="103"/>
      <c r="V84" s="385" t="s">
        <v>173</v>
      </c>
      <c r="W84" s="385"/>
      <c r="X84" s="390">
        <v>80</v>
      </c>
      <c r="Y84" s="390"/>
    </row>
    <row r="85" spans="1:25" ht="12.75" customHeight="1">
      <c r="A85" s="402" t="s">
        <v>152</v>
      </c>
      <c r="B85" s="402"/>
      <c r="C85" s="402"/>
      <c r="D85" s="66" t="s">
        <v>153</v>
      </c>
      <c r="E85" s="66" t="s">
        <v>153</v>
      </c>
      <c r="F85" s="401" t="s">
        <v>153</v>
      </c>
      <c r="G85" s="401"/>
      <c r="H85" s="74">
        <v>101.7</v>
      </c>
      <c r="I85" s="74"/>
      <c r="J85" s="74"/>
      <c r="K85" s="74"/>
      <c r="L85" s="74"/>
      <c r="M85" s="74"/>
      <c r="N85" s="74"/>
      <c r="O85" s="74"/>
      <c r="P85" s="74"/>
      <c r="Q85" s="74">
        <v>101.7</v>
      </c>
      <c r="R85" s="104"/>
      <c r="S85" s="104"/>
      <c r="T85" s="104"/>
      <c r="V85" s="385" t="s">
        <v>174</v>
      </c>
      <c r="W85" s="385"/>
      <c r="X85" s="407" t="s">
        <v>175</v>
      </c>
      <c r="Y85" s="407"/>
    </row>
    <row r="86" spans="1:25" ht="15" customHeight="1">
      <c r="A86" s="394" t="s">
        <v>154</v>
      </c>
      <c r="B86" s="394"/>
      <c r="C86" s="394"/>
      <c r="D86" s="69">
        <v>0.8</v>
      </c>
      <c r="E86" s="69">
        <v>0.79669999999999996</v>
      </c>
      <c r="F86" s="400">
        <v>3.3E-3</v>
      </c>
      <c r="G86" s="400"/>
      <c r="H86" s="72">
        <v>25.61</v>
      </c>
      <c r="I86" s="72"/>
      <c r="J86" s="72"/>
      <c r="K86" s="72"/>
      <c r="L86" s="72"/>
      <c r="M86" s="72"/>
      <c r="N86" s="72"/>
      <c r="O86" s="72"/>
      <c r="P86" s="72"/>
      <c r="Q86" s="73">
        <v>8.4510000000000002E-2</v>
      </c>
      <c r="R86" s="105"/>
      <c r="S86" s="105"/>
      <c r="T86" s="105"/>
      <c r="V86" s="385" t="s">
        <v>176</v>
      </c>
      <c r="W86" s="385"/>
      <c r="X86" s="389">
        <v>1</v>
      </c>
      <c r="Y86" s="389"/>
    </row>
    <row r="87" spans="1:25" ht="12.75" customHeight="1">
      <c r="A87" s="385" t="s">
        <v>155</v>
      </c>
      <c r="B87" s="385"/>
      <c r="C87" s="385"/>
      <c r="D87" s="70">
        <v>4937</v>
      </c>
      <c r="E87" s="70">
        <v>3597</v>
      </c>
      <c r="F87" s="386">
        <v>1340</v>
      </c>
      <c r="G87" s="386"/>
      <c r="H87" s="71">
        <v>8.3700000000000007E-3</v>
      </c>
      <c r="I87" s="71"/>
      <c r="J87" s="71"/>
      <c r="K87" s="71"/>
      <c r="L87" s="71"/>
      <c r="M87" s="71"/>
      <c r="N87" s="71"/>
      <c r="O87" s="71"/>
      <c r="P87" s="71"/>
      <c r="Q87" s="72">
        <v>11.22</v>
      </c>
      <c r="R87" s="106"/>
      <c r="S87" s="106"/>
      <c r="T87" s="106"/>
      <c r="V87" s="385" t="s">
        <v>177</v>
      </c>
      <c r="W87" s="385"/>
      <c r="X87" s="389">
        <v>1</v>
      </c>
      <c r="Y87" s="389"/>
    </row>
    <row r="88" spans="1:25" ht="12.75" customHeight="1">
      <c r="A88" s="385" t="s">
        <v>156</v>
      </c>
      <c r="B88" s="385"/>
      <c r="C88" s="385"/>
      <c r="D88" s="70">
        <v>1046</v>
      </c>
      <c r="E88" s="70">
        <v>1472</v>
      </c>
      <c r="F88" s="390">
        <v>-426</v>
      </c>
      <c r="G88" s="390"/>
      <c r="H88" s="73">
        <v>2.0590000000000001E-2</v>
      </c>
      <c r="I88" s="73"/>
      <c r="J88" s="73"/>
      <c r="K88" s="73"/>
      <c r="L88" s="73"/>
      <c r="M88" s="73"/>
      <c r="N88" s="73"/>
      <c r="O88" s="73"/>
      <c r="P88" s="73"/>
      <c r="Q88" s="68">
        <v>-8.7710000000000008</v>
      </c>
      <c r="R88" s="107"/>
      <c r="S88" s="107"/>
      <c r="T88" s="107"/>
      <c r="V88" s="385" t="s">
        <v>178</v>
      </c>
      <c r="W88" s="385"/>
      <c r="X88" s="386">
        <v>4937</v>
      </c>
      <c r="Y88" s="386"/>
    </row>
    <row r="89" spans="1:25" ht="12.75" customHeight="1">
      <c r="A89" s="385" t="s">
        <v>157</v>
      </c>
      <c r="B89" s="385"/>
      <c r="C89" s="385"/>
      <c r="D89" s="69">
        <v>0</v>
      </c>
      <c r="E89" s="65" t="s">
        <v>153</v>
      </c>
      <c r="F89" s="391">
        <v>0</v>
      </c>
      <c r="G89" s="391"/>
      <c r="H89" s="68">
        <v>8.1820000000000004</v>
      </c>
      <c r="I89" s="68"/>
      <c r="J89" s="68"/>
      <c r="K89" s="68"/>
      <c r="L89" s="68"/>
      <c r="M89" s="68"/>
      <c r="N89" s="68"/>
      <c r="O89" s="68"/>
      <c r="P89" s="68"/>
      <c r="Q89" s="69">
        <v>0</v>
      </c>
      <c r="R89" s="108"/>
      <c r="S89" s="108"/>
      <c r="T89" s="108"/>
      <c r="V89" s="385" t="s">
        <v>179</v>
      </c>
      <c r="W89" s="385"/>
      <c r="X89" s="386">
        <v>1046</v>
      </c>
      <c r="Y89" s="386"/>
    </row>
    <row r="90" spans="1:25" ht="12.75" customHeight="1">
      <c r="A90" s="385" t="s">
        <v>158</v>
      </c>
      <c r="B90" s="385"/>
      <c r="C90" s="385"/>
      <c r="D90" s="68">
        <v>1</v>
      </c>
      <c r="E90" s="65" t="s">
        <v>153</v>
      </c>
      <c r="F90" s="399">
        <v>1</v>
      </c>
      <c r="G90" s="399"/>
      <c r="H90" s="72">
        <v>15.66</v>
      </c>
      <c r="I90" s="72"/>
      <c r="J90" s="72"/>
      <c r="K90" s="72"/>
      <c r="L90" s="72"/>
      <c r="M90" s="72"/>
      <c r="N90" s="72"/>
      <c r="O90" s="72"/>
      <c r="P90" s="72"/>
      <c r="Q90" s="72">
        <v>15.66</v>
      </c>
      <c r="R90" s="106"/>
      <c r="S90" s="106"/>
      <c r="T90" s="106"/>
    </row>
    <row r="91" spans="1:25" ht="12.75" customHeight="1">
      <c r="A91" s="385" t="s">
        <v>159</v>
      </c>
      <c r="B91" s="385"/>
      <c r="C91" s="385"/>
      <c r="D91" s="68">
        <v>1</v>
      </c>
      <c r="E91" s="65" t="s">
        <v>153</v>
      </c>
      <c r="F91" s="399">
        <v>1</v>
      </c>
      <c r="G91" s="399"/>
      <c r="H91" s="72">
        <v>14.08</v>
      </c>
      <c r="I91" s="72"/>
      <c r="J91" s="72"/>
      <c r="K91" s="72"/>
      <c r="L91" s="72"/>
      <c r="M91" s="72"/>
      <c r="N91" s="72"/>
      <c r="O91" s="72"/>
      <c r="P91" s="72"/>
      <c r="Q91" s="72">
        <v>14.08</v>
      </c>
      <c r="R91" s="106"/>
      <c r="S91" s="106"/>
      <c r="T91" s="106"/>
    </row>
    <row r="93" spans="1:25" ht="12.75" customHeight="1">
      <c r="A93" s="1" t="s">
        <v>161</v>
      </c>
      <c r="V93" s="384" t="s">
        <v>187</v>
      </c>
      <c r="W93" s="384"/>
      <c r="X93" s="384"/>
      <c r="Y93" s="384"/>
    </row>
    <row r="94" spans="1:25" ht="26">
      <c r="A94" s="67" t="s">
        <v>146</v>
      </c>
      <c r="B94" s="67"/>
      <c r="C94" s="67"/>
      <c r="D94" s="67" t="s">
        <v>147</v>
      </c>
      <c r="E94" s="67"/>
      <c r="F94" s="67"/>
      <c r="G94" s="67"/>
      <c r="H94" s="67" t="s">
        <v>148</v>
      </c>
      <c r="I94" s="67"/>
      <c r="J94" s="67"/>
      <c r="K94" s="67"/>
      <c r="L94" s="67"/>
      <c r="M94" s="67"/>
      <c r="N94" s="67"/>
      <c r="O94" s="67"/>
      <c r="P94" s="67"/>
      <c r="Q94" s="403" t="s">
        <v>149</v>
      </c>
      <c r="R94" s="403"/>
      <c r="S94" s="67" t="s">
        <v>150</v>
      </c>
      <c r="T94" s="67" t="s">
        <v>151</v>
      </c>
      <c r="V94" s="392" t="s">
        <v>162</v>
      </c>
      <c r="W94" s="392"/>
      <c r="X94" s="75" t="s">
        <v>163</v>
      </c>
      <c r="Y94" s="75" t="s">
        <v>181</v>
      </c>
    </row>
    <row r="95" spans="1:25">
      <c r="A95" s="402" t="s">
        <v>152</v>
      </c>
      <c r="B95" s="402"/>
      <c r="C95" s="402"/>
      <c r="D95" s="66">
        <v>0</v>
      </c>
      <c r="E95" s="66"/>
      <c r="F95" s="66"/>
      <c r="G95" s="66"/>
      <c r="H95" s="66">
        <v>0</v>
      </c>
      <c r="I95" s="66"/>
      <c r="J95" s="66"/>
      <c r="K95" s="66"/>
      <c r="L95" s="66"/>
      <c r="M95" s="66"/>
      <c r="N95" s="66"/>
      <c r="O95" s="66"/>
      <c r="P95" s="66"/>
      <c r="Q95" s="401">
        <v>0</v>
      </c>
      <c r="R95" s="401"/>
      <c r="S95" s="74">
        <v>101.7</v>
      </c>
      <c r="T95" s="74">
        <v>101.7</v>
      </c>
      <c r="V95" s="385" t="s">
        <v>164</v>
      </c>
      <c r="W95" s="385"/>
      <c r="X95" s="76">
        <f>C20</f>
        <v>2716063.7647500001</v>
      </c>
      <c r="Y95" s="65" t="s">
        <v>3</v>
      </c>
    </row>
    <row r="96" spans="1:25" ht="14.5">
      <c r="A96" s="394" t="s">
        <v>154</v>
      </c>
      <c r="B96" s="394"/>
      <c r="C96" s="394"/>
      <c r="D96" s="69">
        <f>X101/(X98/1000)</f>
        <v>0.5714285714285714</v>
      </c>
      <c r="E96" s="69"/>
      <c r="F96" s="69"/>
      <c r="G96" s="69"/>
      <c r="H96" s="69">
        <v>0.79669999999999996</v>
      </c>
      <c r="I96" s="69"/>
      <c r="J96" s="69"/>
      <c r="K96" s="69"/>
      <c r="L96" s="69"/>
      <c r="M96" s="69"/>
      <c r="N96" s="69"/>
      <c r="O96" s="69"/>
      <c r="P96" s="69"/>
      <c r="Q96" s="400">
        <f t="shared" ref="Q96:Q101" si="26">D96-H96</f>
        <v>-0.22527142857142857</v>
      </c>
      <c r="R96" s="400"/>
      <c r="S96" s="72">
        <v>25.61</v>
      </c>
      <c r="T96" s="73">
        <f t="shared" ref="T96:T101" si="27">S96*Q96</f>
        <v>-5.7692012857142858</v>
      </c>
      <c r="V96" s="385" t="s">
        <v>166</v>
      </c>
      <c r="W96" s="385"/>
      <c r="X96" s="77">
        <f>AB20</f>
        <v>48808.835999999988</v>
      </c>
      <c r="Y96" s="65" t="s">
        <v>112</v>
      </c>
    </row>
    <row r="97" spans="1:25" ht="26">
      <c r="A97" s="385" t="s">
        <v>155</v>
      </c>
      <c r="B97" s="385"/>
      <c r="C97" s="385"/>
      <c r="D97" s="70">
        <f>X105*X103</f>
        <v>4937</v>
      </c>
      <c r="E97" s="70"/>
      <c r="F97" s="70"/>
      <c r="G97" s="70"/>
      <c r="H97" s="70">
        <v>3597</v>
      </c>
      <c r="I97" s="70"/>
      <c r="J97" s="70"/>
      <c r="K97" s="70"/>
      <c r="L97" s="70"/>
      <c r="M97" s="70"/>
      <c r="N97" s="70"/>
      <c r="O97" s="70"/>
      <c r="P97" s="70"/>
      <c r="Q97" s="386">
        <f t="shared" si="26"/>
        <v>1340</v>
      </c>
      <c r="R97" s="386"/>
      <c r="S97" s="71">
        <v>8.3700000000000007E-3</v>
      </c>
      <c r="T97" s="73">
        <f t="shared" si="27"/>
        <v>11.215800000000002</v>
      </c>
      <c r="V97" s="75" t="s">
        <v>168</v>
      </c>
      <c r="W97" s="75"/>
      <c r="X97" s="393" t="s">
        <v>163</v>
      </c>
      <c r="Y97" s="393"/>
    </row>
    <row r="98" spans="1:25" ht="14.5">
      <c r="A98" s="385" t="s">
        <v>156</v>
      </c>
      <c r="B98" s="385"/>
      <c r="C98" s="385"/>
      <c r="D98" s="70">
        <f>X104*X106</f>
        <v>1046</v>
      </c>
      <c r="E98" s="70"/>
      <c r="F98" s="70"/>
      <c r="G98" s="70"/>
      <c r="H98" s="70">
        <v>1472</v>
      </c>
      <c r="I98" s="70"/>
      <c r="J98" s="70"/>
      <c r="K98" s="70"/>
      <c r="L98" s="70"/>
      <c r="M98" s="70"/>
      <c r="N98" s="70"/>
      <c r="O98" s="70"/>
      <c r="P98" s="70"/>
      <c r="Q98" s="390">
        <f t="shared" si="26"/>
        <v>-426</v>
      </c>
      <c r="R98" s="390"/>
      <c r="S98" s="73">
        <v>2.0590000000000001E-2</v>
      </c>
      <c r="T98" s="73">
        <f t="shared" si="27"/>
        <v>-8.7713400000000004</v>
      </c>
      <c r="V98" s="394" t="s">
        <v>169</v>
      </c>
      <c r="W98" s="394"/>
      <c r="X98" s="386">
        <f>C36</f>
        <v>140000</v>
      </c>
      <c r="Y98" s="386"/>
    </row>
    <row r="99" spans="1:25">
      <c r="A99" s="385" t="s">
        <v>157</v>
      </c>
      <c r="B99" s="385"/>
      <c r="C99" s="385"/>
      <c r="D99" s="69">
        <f>X102</f>
        <v>0</v>
      </c>
      <c r="E99" s="69"/>
      <c r="F99" s="69"/>
      <c r="G99" s="69"/>
      <c r="H99" s="65">
        <v>0</v>
      </c>
      <c r="I99" s="65"/>
      <c r="J99" s="65"/>
      <c r="K99" s="65"/>
      <c r="L99" s="65"/>
      <c r="M99" s="65"/>
      <c r="N99" s="65"/>
      <c r="O99" s="65"/>
      <c r="P99" s="65"/>
      <c r="Q99" s="391">
        <f t="shared" si="26"/>
        <v>0</v>
      </c>
      <c r="R99" s="391"/>
      <c r="S99" s="68">
        <v>8.1820000000000004</v>
      </c>
      <c r="T99" s="73">
        <f t="shared" si="27"/>
        <v>0</v>
      </c>
      <c r="V99" s="385" t="s">
        <v>170</v>
      </c>
      <c r="W99" s="385"/>
      <c r="X99" s="65">
        <f>IF(Y99="No",0,1)</f>
        <v>1</v>
      </c>
      <c r="Y99" s="1" t="s">
        <v>182</v>
      </c>
    </row>
    <row r="100" spans="1:25">
      <c r="A100" s="385" t="s">
        <v>158</v>
      </c>
      <c r="B100" s="385"/>
      <c r="C100" s="385"/>
      <c r="D100" s="68">
        <f>X100</f>
        <v>1</v>
      </c>
      <c r="E100" s="68"/>
      <c r="F100" s="68"/>
      <c r="G100" s="68"/>
      <c r="H100" s="65">
        <v>0</v>
      </c>
      <c r="I100" s="65"/>
      <c r="J100" s="65"/>
      <c r="K100" s="65"/>
      <c r="L100" s="65"/>
      <c r="M100" s="65"/>
      <c r="N100" s="65"/>
      <c r="O100" s="65"/>
      <c r="P100" s="65"/>
      <c r="Q100" s="391">
        <f t="shared" si="26"/>
        <v>1</v>
      </c>
      <c r="R100" s="391"/>
      <c r="S100" s="72">
        <v>15.66</v>
      </c>
      <c r="T100" s="73">
        <f t="shared" si="27"/>
        <v>15.66</v>
      </c>
      <c r="V100" s="385" t="s">
        <v>172</v>
      </c>
      <c r="W100" s="385"/>
      <c r="X100" s="65">
        <f>IF(Y100="No",0,1)</f>
        <v>1</v>
      </c>
      <c r="Y100" s="1" t="s">
        <v>182</v>
      </c>
    </row>
    <row r="101" spans="1:25">
      <c r="A101" s="385" t="s">
        <v>159</v>
      </c>
      <c r="B101" s="385"/>
      <c r="C101" s="385"/>
      <c r="D101" s="68">
        <f>X99</f>
        <v>1</v>
      </c>
      <c r="E101" s="68"/>
      <c r="F101" s="68"/>
      <c r="G101" s="68"/>
      <c r="H101" s="65">
        <v>0</v>
      </c>
      <c r="I101" s="65"/>
      <c r="J101" s="65"/>
      <c r="K101" s="65"/>
      <c r="L101" s="65"/>
      <c r="M101" s="65"/>
      <c r="N101" s="65"/>
      <c r="O101" s="65"/>
      <c r="P101" s="65"/>
      <c r="Q101" s="391">
        <f t="shared" si="26"/>
        <v>1</v>
      </c>
      <c r="R101" s="391"/>
      <c r="S101" s="72">
        <v>14.08</v>
      </c>
      <c r="T101" s="73">
        <f t="shared" si="27"/>
        <v>14.08</v>
      </c>
      <c r="V101" s="385" t="s">
        <v>173</v>
      </c>
      <c r="W101" s="385"/>
      <c r="X101" s="390">
        <v>80</v>
      </c>
      <c r="Y101" s="390"/>
    </row>
    <row r="102" spans="1:25">
      <c r="T102" s="78">
        <f>SUM(T95:T101)</f>
        <v>128.11525871428572</v>
      </c>
      <c r="V102" s="385" t="s">
        <v>174</v>
      </c>
      <c r="W102" s="385"/>
      <c r="X102" s="65">
        <f>IF(Y102="No",0,1)</f>
        <v>0</v>
      </c>
      <c r="Y102" s="1" t="s">
        <v>183</v>
      </c>
    </row>
    <row r="103" spans="1:25">
      <c r="V103" s="385" t="s">
        <v>176</v>
      </c>
      <c r="W103" s="385"/>
      <c r="X103" s="389">
        <v>1</v>
      </c>
      <c r="Y103" s="389"/>
    </row>
    <row r="104" spans="1:25">
      <c r="V104" s="385" t="s">
        <v>177</v>
      </c>
      <c r="W104" s="385"/>
      <c r="X104" s="389">
        <v>1</v>
      </c>
      <c r="Y104" s="389"/>
    </row>
    <row r="105" spans="1:25" ht="15" customHeight="1">
      <c r="A105" s="383" t="s">
        <v>186</v>
      </c>
      <c r="B105" s="387" t="s">
        <v>184</v>
      </c>
      <c r="C105" s="387"/>
      <c r="D105" s="79">
        <f>C38</f>
        <v>195.01191450653999</v>
      </c>
      <c r="E105" s="81">
        <f>D105/D106</f>
        <v>0.99381244350136866</v>
      </c>
      <c r="F105" s="79"/>
      <c r="G105" s="79"/>
      <c r="V105" s="385" t="s">
        <v>178</v>
      </c>
      <c r="W105" s="385"/>
      <c r="X105" s="386">
        <v>4937</v>
      </c>
      <c r="Y105" s="386"/>
    </row>
    <row r="106" spans="1:25" ht="14.5">
      <c r="A106" s="383"/>
      <c r="B106" s="388" t="s">
        <v>185</v>
      </c>
      <c r="C106" s="388"/>
      <c r="D106" s="80">
        <f>'Pred. EUI Calc.'!G15</f>
        <v>196.22607442857142</v>
      </c>
      <c r="E106" s="80"/>
      <c r="F106" s="80"/>
      <c r="G106" s="80"/>
      <c r="V106" s="385" t="s">
        <v>179</v>
      </c>
      <c r="W106" s="385"/>
      <c r="X106" s="386">
        <v>1046</v>
      </c>
      <c r="Y106" s="386"/>
    </row>
    <row r="108" spans="1:25">
      <c r="A108" s="1" t="s">
        <v>199</v>
      </c>
      <c r="B108" s="1">
        <v>11</v>
      </c>
    </row>
    <row r="109" spans="1:25">
      <c r="B109" s="1" t="s">
        <v>204</v>
      </c>
      <c r="C109" s="1" t="s">
        <v>203</v>
      </c>
      <c r="D109" s="1" t="s">
        <v>205</v>
      </c>
      <c r="H109" s="1" t="s">
        <v>206</v>
      </c>
      <c r="I109" s="1" t="s">
        <v>207</v>
      </c>
      <c r="J109" s="1" t="s">
        <v>208</v>
      </c>
    </row>
    <row r="110" spans="1:25">
      <c r="A110" s="1" t="s">
        <v>200</v>
      </c>
      <c r="B110" s="1">
        <f>Form!K28</f>
        <v>1.2294</v>
      </c>
      <c r="C110" s="1">
        <f>Form!L28</f>
        <v>1.2439</v>
      </c>
      <c r="D110" s="37">
        <f>B110*D106</f>
        <v>241.24033590248573</v>
      </c>
      <c r="E110" s="37"/>
      <c r="F110" s="37"/>
      <c r="G110" s="37"/>
      <c r="H110" s="6">
        <f>D110*$C$36</f>
        <v>33773647.026348002</v>
      </c>
      <c r="I110" s="1">
        <f>H110/2.8</f>
        <v>12062016.795124287</v>
      </c>
      <c r="J110" s="6">
        <f>I110/12</f>
        <v>1005168.0662603573</v>
      </c>
      <c r="K110" s="6"/>
      <c r="L110" s="6"/>
      <c r="M110" s="6"/>
      <c r="N110" s="6"/>
      <c r="O110" s="6"/>
      <c r="P110" s="6"/>
    </row>
    <row r="111" spans="1:25">
      <c r="A111" s="1" t="s">
        <v>201</v>
      </c>
      <c r="B111" s="1">
        <f>Form!K27</f>
        <v>0.94910000000000005</v>
      </c>
      <c r="C111" s="1">
        <f>Form!L27</f>
        <v>0.9587</v>
      </c>
      <c r="D111" s="37">
        <f>B111*D106</f>
        <v>186.23816724015714</v>
      </c>
      <c r="E111" s="37"/>
      <c r="F111" s="37"/>
      <c r="G111" s="37"/>
      <c r="H111" s="6">
        <f>D111*$C$36</f>
        <v>26073343.413621999</v>
      </c>
      <c r="I111" s="1">
        <f>H111/2.8</f>
        <v>9311908.3620078582</v>
      </c>
      <c r="J111" s="6">
        <f>I111/12</f>
        <v>775992.36350065481</v>
      </c>
      <c r="K111" s="6"/>
      <c r="L111" s="6"/>
      <c r="M111" s="6"/>
      <c r="N111" s="6"/>
      <c r="O111" s="6"/>
      <c r="P111" s="6"/>
    </row>
    <row r="112" spans="1:25">
      <c r="A112" s="1" t="s">
        <v>202</v>
      </c>
      <c r="B112" s="1">
        <f>Form!K26</f>
        <v>0.71519999999999995</v>
      </c>
      <c r="C112" s="1">
        <f>Form!L26</f>
        <v>0.72499999999999998</v>
      </c>
      <c r="D112" s="37">
        <f>B112*D106</f>
        <v>140.34088843131428</v>
      </c>
      <c r="E112" s="37"/>
      <c r="F112" s="37"/>
      <c r="G112" s="37"/>
      <c r="H112" s="6">
        <f>D112*$C$36</f>
        <v>19647724.380383998</v>
      </c>
      <c r="I112" s="1">
        <f>H112/2.8</f>
        <v>7017044.4215657143</v>
      </c>
      <c r="J112" s="6">
        <f>I112/12</f>
        <v>584753.70179714286</v>
      </c>
      <c r="K112" s="6"/>
      <c r="L112" s="6"/>
      <c r="M112" s="6"/>
      <c r="N112" s="6"/>
      <c r="O112" s="6"/>
      <c r="P112" s="6"/>
    </row>
    <row r="114" spans="1:15">
      <c r="C114" s="1">
        <f>Form!D33</f>
        <v>2022</v>
      </c>
      <c r="E114" s="236">
        <f>EOMONTH(D117,11)</f>
        <v>44957</v>
      </c>
    </row>
    <row r="116" spans="1:15">
      <c r="A116" s="1" t="s">
        <v>463</v>
      </c>
      <c r="B116" s="1">
        <v>1</v>
      </c>
      <c r="C116" s="1" t="str">
        <f>Form!D32</f>
        <v>April</v>
      </c>
      <c r="D116" s="236">
        <f>DATE($C$114,B116,1)</f>
        <v>44562</v>
      </c>
      <c r="F116" s="1" t="str">
        <f>TEXT(D116,"mmmm")</f>
        <v>January</v>
      </c>
    </row>
    <row r="117" spans="1:15">
      <c r="B117" s="1">
        <v>2</v>
      </c>
      <c r="C117" s="1" t="e">
        <f>C116+1</f>
        <v>#VALUE!</v>
      </c>
      <c r="D117" s="236">
        <f t="shared" ref="D117:D121" si="28">DATE($C$114,B117,1)</f>
        <v>44593</v>
      </c>
      <c r="E117" s="236">
        <f>D117+29</f>
        <v>44622</v>
      </c>
      <c r="F117" s="1" t="str">
        <f t="shared" ref="F117:F118" si="29">TEXT(D117,"mmmm")</f>
        <v>February</v>
      </c>
      <c r="G117" s="236"/>
      <c r="H117" s="236"/>
      <c r="I117" s="236"/>
      <c r="J117" s="236"/>
      <c r="K117" s="236"/>
      <c r="L117" s="236"/>
      <c r="M117" s="236"/>
      <c r="N117" s="236"/>
      <c r="O117" s="236"/>
    </row>
    <row r="118" spans="1:15" ht="14.5">
      <c r="A118"/>
      <c r="B118" s="1">
        <v>3</v>
      </c>
      <c r="C118" s="1" t="str">
        <f>TEXT(B118,"mmmm")</f>
        <v>January</v>
      </c>
      <c r="D118" s="236">
        <f t="shared" si="28"/>
        <v>44621</v>
      </c>
      <c r="E118" s="236">
        <f>E117+30</f>
        <v>44652</v>
      </c>
      <c r="F118" s="1" t="str">
        <f t="shared" si="29"/>
        <v>March</v>
      </c>
    </row>
    <row r="119" spans="1:15" ht="14.5">
      <c r="A119"/>
      <c r="B119" s="1">
        <f>MONTH(DATEVALUE(C116 &amp; "1"))</f>
        <v>4</v>
      </c>
      <c r="C119" s="1" t="str">
        <f t="shared" ref="C119:C121" si="30">TEXT(B119,"mmmm")</f>
        <v>January</v>
      </c>
      <c r="D119" s="236">
        <f t="shared" si="28"/>
        <v>44652</v>
      </c>
    </row>
    <row r="120" spans="1:15" ht="14.5">
      <c r="A120"/>
      <c r="B120" s="1">
        <f>B119+12</f>
        <v>16</v>
      </c>
      <c r="C120" s="1" t="str">
        <f t="shared" si="30"/>
        <v>January</v>
      </c>
      <c r="D120" s="236">
        <f t="shared" si="28"/>
        <v>45017</v>
      </c>
    </row>
    <row r="121" spans="1:15">
      <c r="C121" s="1" t="str">
        <f t="shared" si="30"/>
        <v>January</v>
      </c>
      <c r="D121" s="236">
        <f t="shared" si="28"/>
        <v>44531</v>
      </c>
    </row>
    <row r="122" spans="1:15" ht="14.5">
      <c r="G122"/>
    </row>
    <row r="124" spans="1:15">
      <c r="A124" s="1" t="s">
        <v>462</v>
      </c>
      <c r="B124" s="1">
        <f>MONTH(DATEVALUE(Form!D32 &amp; "1"))</f>
        <v>4</v>
      </c>
    </row>
    <row r="125" spans="1:15">
      <c r="A125" s="1" t="s">
        <v>465</v>
      </c>
      <c r="B125" s="1">
        <f>Form!D33</f>
        <v>2022</v>
      </c>
      <c r="H125" s="1">
        <f>VLOOKUP("NO",F129:G228,2)</f>
        <v>46</v>
      </c>
    </row>
    <row r="127" spans="1:15">
      <c r="A127" s="1" t="s">
        <v>464</v>
      </c>
      <c r="B127" s="236">
        <f>DATE(B125,B124,1)</f>
        <v>44652</v>
      </c>
      <c r="C127" s="1" t="str">
        <f>TEXT(B127,"mmmm")</f>
        <v>April</v>
      </c>
      <c r="G127" s="382" t="s">
        <v>195</v>
      </c>
    </row>
    <row r="128" spans="1:15">
      <c r="A128" s="1">
        <v>1</v>
      </c>
      <c r="B128" s="236">
        <f>DATE($B$125,$B$124+A128,1)</f>
        <v>44682</v>
      </c>
      <c r="C128" s="1" t="str">
        <f t="shared" ref="C128:C138" si="31">TEXT(B128,"mmmm")</f>
        <v>May</v>
      </c>
      <c r="G128" s="382"/>
    </row>
    <row r="129" spans="1:10">
      <c r="A129" s="1">
        <v>2</v>
      </c>
      <c r="B129" s="236">
        <f t="shared" ref="B129:B138" si="32">DATE($B$125,$B$124+A129,1)</f>
        <v>44713</v>
      </c>
      <c r="C129" s="1" t="str">
        <f t="shared" si="31"/>
        <v>June</v>
      </c>
      <c r="F129" s="1" t="str">
        <f>IF((Calculation!H129-Calculation!$E$105)&gt;=0,"YES","NO")</f>
        <v>NO</v>
      </c>
      <c r="G129" s="91">
        <v>100</v>
      </c>
      <c r="H129" s="1" cm="1">
        <f t="array" ref="H129">_xlfn.XLOOKUP(Form!$L$4,Max!$C$2:$E$2,_xlfn.XLOOKUP(G129,Max!$A$4:$A$103,Max!$C$4:$E$103))</f>
        <v>0</v>
      </c>
      <c r="J129" s="81">
        <f>H129-$E$105</f>
        <v>-0.99381244350136866</v>
      </c>
    </row>
    <row r="130" spans="1:10">
      <c r="A130" s="1">
        <v>3</v>
      </c>
      <c r="B130" s="236">
        <f t="shared" si="32"/>
        <v>44743</v>
      </c>
      <c r="C130" s="1" t="str">
        <f t="shared" si="31"/>
        <v>July</v>
      </c>
      <c r="F130" s="1" t="str">
        <f>IF((Calculation!H130-Calculation!$E$105)&gt;=0,"YES","NO")</f>
        <v>NO</v>
      </c>
      <c r="G130" s="85">
        <v>99</v>
      </c>
      <c r="H130" s="1" cm="1">
        <f t="array" ref="H130">_xlfn.XLOOKUP(Form!$L$4,Max!$C$2:$E$2,_xlfn.XLOOKUP(G130,Max!$A$4:$A$103,Max!$C$4:$E$103))</f>
        <v>0.31580000000000003</v>
      </c>
      <c r="J130" s="81">
        <f t="shared" ref="J130:J193" si="33">H130-$E$105</f>
        <v>-0.67801244350136858</v>
      </c>
    </row>
    <row r="131" spans="1:10">
      <c r="A131" s="1">
        <v>4</v>
      </c>
      <c r="B131" s="236">
        <f t="shared" si="32"/>
        <v>44774</v>
      </c>
      <c r="C131" s="1" t="str">
        <f t="shared" si="31"/>
        <v>August</v>
      </c>
      <c r="F131" s="1" t="str">
        <f>IF((Calculation!H131-Calculation!$E$105)&gt;=0,"YES","NO")</f>
        <v>NO</v>
      </c>
      <c r="G131" s="91">
        <v>98</v>
      </c>
      <c r="H131" s="1" cm="1">
        <f t="array" ref="H131">_xlfn.XLOOKUP(Form!$L$4,Max!$C$2:$E$2,_xlfn.XLOOKUP(G131,Max!$A$4:$A$103,Max!$C$4:$E$103))</f>
        <v>0.3664</v>
      </c>
      <c r="J131" s="81">
        <f t="shared" si="33"/>
        <v>-0.6274124435013686</v>
      </c>
    </row>
    <row r="132" spans="1:10">
      <c r="A132" s="1">
        <v>5</v>
      </c>
      <c r="B132" s="236">
        <f t="shared" si="32"/>
        <v>44805</v>
      </c>
      <c r="C132" s="1" t="str">
        <f t="shared" si="31"/>
        <v>September</v>
      </c>
      <c r="F132" s="1" t="str">
        <f>IF((Calculation!H132-Calculation!$E$105)&gt;=0,"YES","NO")</f>
        <v>NO</v>
      </c>
      <c r="G132" s="85">
        <v>97</v>
      </c>
      <c r="H132" s="1" cm="1">
        <f t="array" ref="H132">_xlfn.XLOOKUP(Form!$L$4,Max!$C$2:$E$2,_xlfn.XLOOKUP(G132,Max!$A$4:$A$103,Max!$C$4:$E$103))</f>
        <v>0.40150000000000002</v>
      </c>
      <c r="J132" s="81">
        <f t="shared" si="33"/>
        <v>-0.59231244350136869</v>
      </c>
    </row>
    <row r="133" spans="1:10">
      <c r="A133" s="1">
        <v>6</v>
      </c>
      <c r="B133" s="236">
        <f t="shared" si="32"/>
        <v>44835</v>
      </c>
      <c r="C133" s="1" t="str">
        <f t="shared" si="31"/>
        <v>October</v>
      </c>
      <c r="F133" s="1" t="str">
        <f>IF((Calculation!H133-Calculation!$E$105)&gt;=0,"YES","NO")</f>
        <v>NO</v>
      </c>
      <c r="G133" s="91">
        <v>96</v>
      </c>
      <c r="H133" s="1" cm="1">
        <f t="array" ref="H133">_xlfn.XLOOKUP(Form!$L$4,Max!$C$2:$E$2,_xlfn.XLOOKUP(G133,Max!$A$4:$A$103,Max!$C$4:$E$103))</f>
        <v>0.4294</v>
      </c>
      <c r="J133" s="81">
        <f t="shared" si="33"/>
        <v>-0.56441244350136865</v>
      </c>
    </row>
    <row r="134" spans="1:10">
      <c r="A134" s="1">
        <v>7</v>
      </c>
      <c r="B134" s="236">
        <f t="shared" si="32"/>
        <v>44866</v>
      </c>
      <c r="C134" s="1" t="str">
        <f t="shared" si="31"/>
        <v>November</v>
      </c>
      <c r="F134" s="1" t="str">
        <f>IF((Calculation!H134-Calculation!$E$105)&gt;=0,"YES","NO")</f>
        <v>NO</v>
      </c>
      <c r="G134" s="85">
        <v>95</v>
      </c>
      <c r="H134" s="1" cm="1">
        <f t="array" ref="H134">_xlfn.XLOOKUP(Form!$L$4,Max!$C$2:$E$2,_xlfn.XLOOKUP(G134,Max!$A$4:$A$103,Max!$C$4:$E$103))</f>
        <v>0.4531</v>
      </c>
      <c r="J134" s="81">
        <f t="shared" si="33"/>
        <v>-0.5407124435013686</v>
      </c>
    </row>
    <row r="135" spans="1:10">
      <c r="A135" s="1">
        <v>8</v>
      </c>
      <c r="B135" s="236">
        <f t="shared" si="32"/>
        <v>44896</v>
      </c>
      <c r="C135" s="1" t="str">
        <f t="shared" si="31"/>
        <v>December</v>
      </c>
      <c r="F135" s="1" t="str">
        <f>IF((Calculation!H135-Calculation!$E$105)&gt;=0,"YES","NO")</f>
        <v>NO</v>
      </c>
      <c r="G135" s="91">
        <v>94</v>
      </c>
      <c r="H135" s="1" cm="1">
        <f t="array" ref="H135">_xlfn.XLOOKUP(Form!$L$4,Max!$C$2:$E$2,_xlfn.XLOOKUP(G135,Max!$A$4:$A$103,Max!$C$4:$E$103))</f>
        <v>0.47399999999999998</v>
      </c>
      <c r="J135" s="81">
        <f t="shared" si="33"/>
        <v>-0.51981244350136868</v>
      </c>
    </row>
    <row r="136" spans="1:10">
      <c r="A136" s="1">
        <v>9</v>
      </c>
      <c r="B136" s="236">
        <f t="shared" si="32"/>
        <v>44927</v>
      </c>
      <c r="C136" s="1" t="str">
        <f t="shared" si="31"/>
        <v>January</v>
      </c>
      <c r="F136" s="1" t="str">
        <f>IF((Calculation!H136-Calculation!$E$105)&gt;=0,"YES","NO")</f>
        <v>NO</v>
      </c>
      <c r="G136" s="85">
        <v>93</v>
      </c>
      <c r="H136" s="1" cm="1">
        <f t="array" ref="H136">_xlfn.XLOOKUP(Form!$L$4,Max!$C$2:$E$2,_xlfn.XLOOKUP(G136,Max!$A$4:$A$103,Max!$C$4:$E$103))</f>
        <v>0.49280000000000002</v>
      </c>
      <c r="J136" s="81">
        <f t="shared" si="33"/>
        <v>-0.50101244350136864</v>
      </c>
    </row>
    <row r="137" spans="1:10">
      <c r="A137" s="1">
        <v>10</v>
      </c>
      <c r="B137" s="236">
        <f t="shared" si="32"/>
        <v>44958</v>
      </c>
      <c r="C137" s="1" t="str">
        <f t="shared" si="31"/>
        <v>February</v>
      </c>
      <c r="F137" s="1" t="str">
        <f>IF((Calculation!H137-Calculation!$E$105)&gt;=0,"YES","NO")</f>
        <v>NO</v>
      </c>
      <c r="G137" s="91">
        <v>92</v>
      </c>
      <c r="H137" s="1" cm="1">
        <f t="array" ref="H137">_xlfn.XLOOKUP(Form!$L$4,Max!$C$2:$E$2,_xlfn.XLOOKUP(G137,Max!$A$4:$A$103,Max!$C$4:$E$103))</f>
        <v>0.51019999999999999</v>
      </c>
      <c r="J137" s="81">
        <f t="shared" si="33"/>
        <v>-0.48361244350136867</v>
      </c>
    </row>
    <row r="138" spans="1:10">
      <c r="A138" s="1">
        <v>11</v>
      </c>
      <c r="B138" s="236">
        <f t="shared" si="32"/>
        <v>44986</v>
      </c>
      <c r="C138" s="1" t="str">
        <f t="shared" si="31"/>
        <v>March</v>
      </c>
      <c r="F138" s="1" t="str">
        <f>IF((Calculation!H138-Calculation!$E$105)&gt;=0,"YES","NO")</f>
        <v>NO</v>
      </c>
      <c r="G138" s="85">
        <v>91</v>
      </c>
      <c r="H138" s="1" cm="1">
        <f t="array" ref="H138">_xlfn.XLOOKUP(Form!$L$4,Max!$C$2:$E$2,_xlfn.XLOOKUP(G138,Max!$A$4:$A$103,Max!$C$4:$E$103))</f>
        <v>0.52629999999999999</v>
      </c>
      <c r="J138" s="81">
        <f t="shared" si="33"/>
        <v>-0.46751244350136867</v>
      </c>
    </row>
    <row r="139" spans="1:10">
      <c r="F139" s="1" t="str">
        <f>IF((Calculation!H139-Calculation!$E$105)&gt;=0,"YES","NO")</f>
        <v>NO</v>
      </c>
      <c r="G139" s="91">
        <v>90</v>
      </c>
      <c r="H139" s="1" cm="1">
        <f t="array" ref="H139">_xlfn.XLOOKUP(Form!$L$4,Max!$C$2:$E$2,_xlfn.XLOOKUP(G139,Max!$A$4:$A$103,Max!$C$4:$E$103))</f>
        <v>0.54149999999999998</v>
      </c>
      <c r="J139" s="81">
        <f t="shared" si="33"/>
        <v>-0.45231244350136868</v>
      </c>
    </row>
    <row r="140" spans="1:10">
      <c r="F140" s="1" t="str">
        <f>IF((Calculation!H140-Calculation!$E$105)&gt;=0,"YES","NO")</f>
        <v>NO</v>
      </c>
      <c r="G140" s="85">
        <v>89</v>
      </c>
      <c r="H140" s="1" cm="1">
        <f t="array" ref="H140">_xlfn.XLOOKUP(Form!$L$4,Max!$C$2:$E$2,_xlfn.XLOOKUP(G140,Max!$A$4:$A$103,Max!$C$4:$E$103))</f>
        <v>0.55589999999999995</v>
      </c>
      <c r="J140" s="81">
        <f t="shared" si="33"/>
        <v>-0.43791244350136871</v>
      </c>
    </row>
    <row r="141" spans="1:10">
      <c r="F141" s="1" t="str">
        <f>IF((Calculation!H141-Calculation!$E$105)&gt;=0,"YES","NO")</f>
        <v>NO</v>
      </c>
      <c r="G141" s="91">
        <v>88</v>
      </c>
      <c r="H141" s="1" cm="1">
        <f t="array" ref="H141">_xlfn.XLOOKUP(Form!$L$4,Max!$C$2:$E$2,_xlfn.XLOOKUP(G141,Max!$A$4:$A$103,Max!$C$4:$E$103))</f>
        <v>0.5696</v>
      </c>
      <c r="J141" s="81">
        <f t="shared" si="33"/>
        <v>-0.42421244350136866</v>
      </c>
    </row>
    <row r="142" spans="1:10">
      <c r="F142" s="1" t="str">
        <f>IF((Calculation!H142-Calculation!$E$105)&gt;=0,"YES","NO")</f>
        <v>NO</v>
      </c>
      <c r="G142" s="85">
        <v>87</v>
      </c>
      <c r="H142" s="1" cm="1">
        <f t="array" ref="H142">_xlfn.XLOOKUP(Form!$L$4,Max!$C$2:$E$2,_xlfn.XLOOKUP(G142,Max!$A$4:$A$103,Max!$C$4:$E$103))</f>
        <v>0.5827</v>
      </c>
      <c r="J142" s="81">
        <f t="shared" si="33"/>
        <v>-0.41111244350136866</v>
      </c>
    </row>
    <row r="143" spans="1:10">
      <c r="F143" s="1" t="str">
        <f>IF((Calculation!H143-Calculation!$E$105)&gt;=0,"YES","NO")</f>
        <v>NO</v>
      </c>
      <c r="G143" s="91">
        <v>86</v>
      </c>
      <c r="H143" s="1" cm="1">
        <f t="array" ref="H143">_xlfn.XLOOKUP(Form!$L$4,Max!$C$2:$E$2,_xlfn.XLOOKUP(G143,Max!$A$4:$A$103,Max!$C$4:$E$103))</f>
        <v>0.59540000000000004</v>
      </c>
      <c r="J143" s="81">
        <f t="shared" si="33"/>
        <v>-0.39841244350136862</v>
      </c>
    </row>
    <row r="144" spans="1:10">
      <c r="F144" s="1" t="str">
        <f>IF((Calculation!H144-Calculation!$E$105)&gt;=0,"YES","NO")</f>
        <v>NO</v>
      </c>
      <c r="G144" s="85">
        <v>85</v>
      </c>
      <c r="H144" s="1" cm="1">
        <f t="array" ref="H144">_xlfn.XLOOKUP(Form!$L$4,Max!$C$2:$E$2,_xlfn.XLOOKUP(G144,Max!$A$4:$A$103,Max!$C$4:$E$103))</f>
        <v>0.60760000000000003</v>
      </c>
      <c r="J144" s="81">
        <f t="shared" si="33"/>
        <v>-0.38621244350136863</v>
      </c>
    </row>
    <row r="145" spans="6:10">
      <c r="F145" s="1" t="str">
        <f>IF((Calculation!H145-Calculation!$E$105)&gt;=0,"YES","NO")</f>
        <v>NO</v>
      </c>
      <c r="G145" s="91">
        <v>84</v>
      </c>
      <c r="H145" s="1" cm="1">
        <f t="array" ref="H145">_xlfn.XLOOKUP(Form!$L$4,Max!$C$2:$E$2,_xlfn.XLOOKUP(G145,Max!$A$4:$A$103,Max!$C$4:$E$103))</f>
        <v>0.61950000000000005</v>
      </c>
      <c r="J145" s="81">
        <f t="shared" si="33"/>
        <v>-0.37431244350136861</v>
      </c>
    </row>
    <row r="146" spans="6:10">
      <c r="F146" s="1" t="str">
        <f>IF((Calculation!H146-Calculation!$E$105)&gt;=0,"YES","NO")</f>
        <v>NO</v>
      </c>
      <c r="G146" s="85">
        <v>83</v>
      </c>
      <c r="H146" s="1" cm="1">
        <f t="array" ref="H146">_xlfn.XLOOKUP(Form!$L$4,Max!$C$2:$E$2,_xlfn.XLOOKUP(G146,Max!$A$4:$A$103,Max!$C$4:$E$103))</f>
        <v>0.63100000000000001</v>
      </c>
      <c r="J146" s="81">
        <f t="shared" si="33"/>
        <v>-0.36281244350136865</v>
      </c>
    </row>
    <row r="147" spans="6:10">
      <c r="F147" s="1" t="str">
        <f>IF((Calculation!H147-Calculation!$E$105)&gt;=0,"YES","NO")</f>
        <v>NO</v>
      </c>
      <c r="G147" s="91">
        <v>82</v>
      </c>
      <c r="H147" s="1" cm="1">
        <f t="array" ref="H147">_xlfn.XLOOKUP(Form!$L$4,Max!$C$2:$E$2,_xlfn.XLOOKUP(G147,Max!$A$4:$A$103,Max!$C$4:$E$103))</f>
        <v>0.64219999999999999</v>
      </c>
      <c r="J147" s="81">
        <f t="shared" si="33"/>
        <v>-0.35161244350136867</v>
      </c>
    </row>
    <row r="148" spans="6:10">
      <c r="F148" s="1" t="str">
        <f>IF((Calculation!H148-Calculation!$E$105)&gt;=0,"YES","NO")</f>
        <v>NO</v>
      </c>
      <c r="G148" s="85">
        <v>81</v>
      </c>
      <c r="H148" s="1" cm="1">
        <f t="array" ref="H148">_xlfn.XLOOKUP(Form!$L$4,Max!$C$2:$E$2,_xlfn.XLOOKUP(G148,Max!$A$4:$A$103,Max!$C$4:$E$103))</f>
        <v>0.6532</v>
      </c>
      <c r="J148" s="81">
        <f t="shared" si="33"/>
        <v>-0.34061244350136866</v>
      </c>
    </row>
    <row r="149" spans="6:10">
      <c r="F149" s="1" t="str">
        <f>IF((Calculation!H149-Calculation!$E$105)&gt;=0,"YES","NO")</f>
        <v>NO</v>
      </c>
      <c r="G149" s="91">
        <v>80</v>
      </c>
      <c r="H149" s="1" cm="1">
        <f t="array" ref="H149">_xlfn.XLOOKUP(Form!$L$4,Max!$C$2:$E$2,_xlfn.XLOOKUP(G149,Max!$A$4:$A$103,Max!$C$4:$E$103))</f>
        <v>0.66400000000000003</v>
      </c>
      <c r="J149" s="81">
        <f t="shared" si="33"/>
        <v>-0.32981244350136862</v>
      </c>
    </row>
    <row r="150" spans="6:10">
      <c r="F150" s="1" t="str">
        <f>IF((Calculation!H150-Calculation!$E$105)&gt;=0,"YES","NO")</f>
        <v>NO</v>
      </c>
      <c r="G150" s="85">
        <v>79</v>
      </c>
      <c r="H150" s="1" cm="1">
        <f t="array" ref="H150">_xlfn.XLOOKUP(Form!$L$4,Max!$C$2:$E$2,_xlfn.XLOOKUP(G150,Max!$A$4:$A$103,Max!$C$4:$E$103))</f>
        <v>0.67459999999999998</v>
      </c>
      <c r="J150" s="81">
        <f t="shared" si="33"/>
        <v>-0.31921244350136868</v>
      </c>
    </row>
    <row r="151" spans="6:10">
      <c r="F151" s="1" t="str">
        <f>IF((Calculation!H151-Calculation!$E$105)&gt;=0,"YES","NO")</f>
        <v>NO</v>
      </c>
      <c r="G151" s="91">
        <v>78</v>
      </c>
      <c r="H151" s="1" cm="1">
        <f t="array" ref="H151">_xlfn.XLOOKUP(Form!$L$4,Max!$C$2:$E$2,_xlfn.XLOOKUP(G151,Max!$A$4:$A$103,Max!$C$4:$E$103))</f>
        <v>0.68489999999999995</v>
      </c>
      <c r="J151" s="81">
        <f t="shared" si="33"/>
        <v>-0.30891244350136871</v>
      </c>
    </row>
    <row r="152" spans="6:10">
      <c r="F152" s="1" t="str">
        <f>IF((Calculation!H152-Calculation!$E$105)&gt;=0,"YES","NO")</f>
        <v>NO</v>
      </c>
      <c r="G152" s="85">
        <v>77</v>
      </c>
      <c r="H152" s="1" cm="1">
        <f t="array" ref="H152">_xlfn.XLOOKUP(Form!$L$4,Max!$C$2:$E$2,_xlfn.XLOOKUP(G152,Max!$A$4:$A$103,Max!$C$4:$E$103))</f>
        <v>0.69510000000000005</v>
      </c>
      <c r="J152" s="81">
        <f t="shared" si="33"/>
        <v>-0.29871244350136861</v>
      </c>
    </row>
    <row r="153" spans="6:10">
      <c r="F153" s="1" t="str">
        <f>IF((Calculation!H153-Calculation!$E$105)&gt;=0,"YES","NO")</f>
        <v>NO</v>
      </c>
      <c r="G153" s="91">
        <v>76</v>
      </c>
      <c r="H153" s="1" cm="1">
        <f t="array" ref="H153">_xlfn.XLOOKUP(Form!$L$4,Max!$C$2:$E$2,_xlfn.XLOOKUP(G153,Max!$A$4:$A$103,Max!$C$4:$E$103))</f>
        <v>0.70520000000000005</v>
      </c>
      <c r="J153" s="81">
        <f t="shared" si="33"/>
        <v>-0.28861244350136861</v>
      </c>
    </row>
    <row r="154" spans="6:10">
      <c r="F154" s="1" t="str">
        <f>IF((Calculation!H154-Calculation!$E$105)&gt;=0,"YES","NO")</f>
        <v>NO</v>
      </c>
      <c r="G154" s="85">
        <v>75</v>
      </c>
      <c r="H154" s="1" cm="1">
        <f t="array" ref="H154">_xlfn.XLOOKUP(Form!$L$4,Max!$C$2:$E$2,_xlfn.XLOOKUP(G154,Max!$A$4:$A$103,Max!$C$4:$E$103))</f>
        <v>0.71519999999999995</v>
      </c>
      <c r="J154" s="81">
        <f t="shared" si="33"/>
        <v>-0.27861244350136871</v>
      </c>
    </row>
    <row r="155" spans="6:10">
      <c r="F155" s="1" t="str">
        <f>IF((Calculation!H155-Calculation!$E$105)&gt;=0,"YES","NO")</f>
        <v>NO</v>
      </c>
      <c r="G155" s="91">
        <v>74</v>
      </c>
      <c r="H155" s="1" cm="1">
        <f t="array" ref="H155">_xlfn.XLOOKUP(Form!$L$4,Max!$C$2:$E$2,_xlfn.XLOOKUP(G155,Max!$A$4:$A$103,Max!$C$4:$E$103))</f>
        <v>0.72499999999999998</v>
      </c>
      <c r="J155" s="81">
        <f t="shared" si="33"/>
        <v>-0.26881244350136868</v>
      </c>
    </row>
    <row r="156" spans="6:10">
      <c r="F156" s="1" t="str">
        <f>IF((Calculation!H156-Calculation!$E$105)&gt;=0,"YES","NO")</f>
        <v>NO</v>
      </c>
      <c r="G156" s="85">
        <v>73</v>
      </c>
      <c r="H156" s="1" cm="1">
        <f t="array" ref="H156">_xlfn.XLOOKUP(Form!$L$4,Max!$C$2:$E$2,_xlfn.XLOOKUP(G156,Max!$A$4:$A$103,Max!$C$4:$E$103))</f>
        <v>0.73470000000000002</v>
      </c>
      <c r="J156" s="81">
        <f t="shared" si="33"/>
        <v>-0.25911244350136864</v>
      </c>
    </row>
    <row r="157" spans="6:10">
      <c r="F157" s="1" t="str">
        <f>IF((Calculation!H157-Calculation!$E$105)&gt;=0,"YES","NO")</f>
        <v>NO</v>
      </c>
      <c r="G157" s="91">
        <v>72</v>
      </c>
      <c r="H157" s="1" cm="1">
        <f t="array" ref="H157">_xlfn.XLOOKUP(Form!$L$4,Max!$C$2:$E$2,_xlfn.XLOOKUP(G157,Max!$A$4:$A$103,Max!$C$4:$E$103))</f>
        <v>0.74429999999999996</v>
      </c>
      <c r="J157" s="81">
        <f t="shared" si="33"/>
        <v>-0.2495124435013687</v>
      </c>
    </row>
    <row r="158" spans="6:10">
      <c r="F158" s="1" t="str">
        <f>IF((Calculation!H158-Calculation!$E$105)&gt;=0,"YES","NO")</f>
        <v>NO</v>
      </c>
      <c r="G158" s="85">
        <v>71</v>
      </c>
      <c r="H158" s="1" cm="1">
        <f t="array" ref="H158">_xlfn.XLOOKUP(Form!$L$4,Max!$C$2:$E$2,_xlfn.XLOOKUP(G158,Max!$A$4:$A$103,Max!$C$4:$E$103))</f>
        <v>0.75390000000000001</v>
      </c>
      <c r="J158" s="81">
        <f t="shared" si="33"/>
        <v>-0.23991244350136864</v>
      </c>
    </row>
    <row r="159" spans="6:10">
      <c r="F159" s="1" t="str">
        <f>IF((Calculation!H159-Calculation!$E$105)&gt;=0,"YES","NO")</f>
        <v>NO</v>
      </c>
      <c r="G159" s="91">
        <v>70</v>
      </c>
      <c r="H159" s="1" cm="1">
        <f t="array" ref="H159">_xlfn.XLOOKUP(Form!$L$4,Max!$C$2:$E$2,_xlfn.XLOOKUP(G159,Max!$A$4:$A$103,Max!$C$4:$E$103))</f>
        <v>0.76339999999999997</v>
      </c>
      <c r="J159" s="81">
        <f t="shared" si="33"/>
        <v>-0.23041244350136869</v>
      </c>
    </row>
    <row r="160" spans="6:10">
      <c r="F160" s="1" t="str">
        <f>IF((Calculation!H160-Calculation!$E$105)&gt;=0,"YES","NO")</f>
        <v>NO</v>
      </c>
      <c r="G160" s="85">
        <v>69</v>
      </c>
      <c r="H160" s="1" cm="1">
        <f t="array" ref="H160">_xlfn.XLOOKUP(Form!$L$4,Max!$C$2:$E$2,_xlfn.XLOOKUP(G160,Max!$A$4:$A$103,Max!$C$4:$E$103))</f>
        <v>0.77280000000000004</v>
      </c>
      <c r="J160" s="81">
        <f t="shared" si="33"/>
        <v>-0.22101244350136862</v>
      </c>
    </row>
    <row r="161" spans="6:10">
      <c r="F161" s="1" t="str">
        <f>IF((Calculation!H161-Calculation!$E$105)&gt;=0,"YES","NO")</f>
        <v>NO</v>
      </c>
      <c r="G161" s="91">
        <v>68</v>
      </c>
      <c r="H161" s="1" cm="1">
        <f t="array" ref="H161">_xlfn.XLOOKUP(Form!$L$4,Max!$C$2:$E$2,_xlfn.XLOOKUP(G161,Max!$A$4:$A$103,Max!$C$4:$E$103))</f>
        <v>0.78210000000000002</v>
      </c>
      <c r="J161" s="81">
        <f t="shared" si="33"/>
        <v>-0.21171244350136864</v>
      </c>
    </row>
    <row r="162" spans="6:10">
      <c r="F162" s="1" t="str">
        <f>IF((Calculation!H162-Calculation!$E$105)&gt;=0,"YES","NO")</f>
        <v>NO</v>
      </c>
      <c r="G162" s="85">
        <v>67</v>
      </c>
      <c r="H162" s="1" cm="1">
        <f t="array" ref="H162">_xlfn.XLOOKUP(Form!$L$4,Max!$C$2:$E$2,_xlfn.XLOOKUP(G162,Max!$A$4:$A$103,Max!$C$4:$E$103))</f>
        <v>0.79149999999999998</v>
      </c>
      <c r="J162" s="81">
        <f t="shared" si="33"/>
        <v>-0.20231244350136868</v>
      </c>
    </row>
    <row r="163" spans="6:10">
      <c r="F163" s="1" t="str">
        <f>IF((Calculation!H163-Calculation!$E$105)&gt;=0,"YES","NO")</f>
        <v>NO</v>
      </c>
      <c r="G163" s="91">
        <v>66</v>
      </c>
      <c r="H163" s="1" cm="1">
        <f t="array" ref="H163">_xlfn.XLOOKUP(Form!$L$4,Max!$C$2:$E$2,_xlfn.XLOOKUP(G163,Max!$A$4:$A$103,Max!$C$4:$E$103))</f>
        <v>0.80069999999999997</v>
      </c>
      <c r="J163" s="81">
        <f t="shared" si="33"/>
        <v>-0.19311244350136869</v>
      </c>
    </row>
    <row r="164" spans="6:10">
      <c r="F164" s="1" t="str">
        <f>IF((Calculation!H164-Calculation!$E$105)&gt;=0,"YES","NO")</f>
        <v>NO</v>
      </c>
      <c r="G164" s="85">
        <v>65</v>
      </c>
      <c r="H164" s="1" cm="1">
        <f t="array" ref="H164">_xlfn.XLOOKUP(Form!$L$4,Max!$C$2:$E$2,_xlfn.XLOOKUP(G164,Max!$A$4:$A$103,Max!$C$4:$E$103))</f>
        <v>0.81</v>
      </c>
      <c r="J164" s="81">
        <f t="shared" si="33"/>
        <v>-0.18381244350136861</v>
      </c>
    </row>
    <row r="165" spans="6:10">
      <c r="F165" s="1" t="str">
        <f>IF((Calculation!H165-Calculation!$E$105)&gt;=0,"YES","NO")</f>
        <v>NO</v>
      </c>
      <c r="G165" s="91">
        <v>64</v>
      </c>
      <c r="H165" s="1" cm="1">
        <f t="array" ref="H165">_xlfn.XLOOKUP(Form!$L$4,Max!$C$2:$E$2,_xlfn.XLOOKUP(G165,Max!$A$4:$A$103,Max!$C$4:$E$103))</f>
        <v>0.81920000000000004</v>
      </c>
      <c r="J165" s="81">
        <f t="shared" si="33"/>
        <v>-0.17461244350136862</v>
      </c>
    </row>
    <row r="166" spans="6:10">
      <c r="F166" s="1" t="str">
        <f>IF((Calculation!H166-Calculation!$E$105)&gt;=0,"YES","NO")</f>
        <v>NO</v>
      </c>
      <c r="G166" s="85">
        <v>63</v>
      </c>
      <c r="H166" s="1" cm="1">
        <f t="array" ref="H166">_xlfn.XLOOKUP(Form!$L$4,Max!$C$2:$E$2,_xlfn.XLOOKUP(G166,Max!$A$4:$A$103,Max!$C$4:$E$103))</f>
        <v>0.82840000000000003</v>
      </c>
      <c r="J166" s="81">
        <f t="shared" si="33"/>
        <v>-0.16541244350136863</v>
      </c>
    </row>
    <row r="167" spans="6:10">
      <c r="F167" s="1" t="str">
        <f>IF((Calculation!H167-Calculation!$E$105)&gt;=0,"YES","NO")</f>
        <v>NO</v>
      </c>
      <c r="G167" s="91">
        <v>62</v>
      </c>
      <c r="H167" s="1" cm="1">
        <f t="array" ref="H167">_xlfn.XLOOKUP(Form!$L$4,Max!$C$2:$E$2,_xlfn.XLOOKUP(G167,Max!$A$4:$A$103,Max!$C$4:$E$103))</f>
        <v>0.83760000000000001</v>
      </c>
      <c r="J167" s="81">
        <f t="shared" si="33"/>
        <v>-0.15621244350136865</v>
      </c>
    </row>
    <row r="168" spans="6:10">
      <c r="F168" s="1" t="str">
        <f>IF((Calculation!H168-Calculation!$E$105)&gt;=0,"YES","NO")</f>
        <v>NO</v>
      </c>
      <c r="G168" s="85">
        <v>61</v>
      </c>
      <c r="H168" s="1" cm="1">
        <f t="array" ref="H168">_xlfn.XLOOKUP(Form!$L$4,Max!$C$2:$E$2,_xlfn.XLOOKUP(G168,Max!$A$4:$A$103,Max!$C$4:$E$103))</f>
        <v>0.8468</v>
      </c>
      <c r="J168" s="81">
        <f t="shared" si="33"/>
        <v>-0.14701244350136866</v>
      </c>
    </row>
    <row r="169" spans="6:10">
      <c r="F169" s="1" t="str">
        <f>IF((Calculation!H169-Calculation!$E$105)&gt;=0,"YES","NO")</f>
        <v>NO</v>
      </c>
      <c r="G169" s="91">
        <v>60</v>
      </c>
      <c r="H169" s="1" cm="1">
        <f t="array" ref="H169">_xlfn.XLOOKUP(Form!$L$4,Max!$C$2:$E$2,_xlfn.XLOOKUP(G169,Max!$A$4:$A$103,Max!$C$4:$E$103))</f>
        <v>0.85589999999999999</v>
      </c>
      <c r="J169" s="81">
        <f t="shared" si="33"/>
        <v>-0.13791244350136866</v>
      </c>
    </row>
    <row r="170" spans="6:10">
      <c r="F170" s="1" t="str">
        <f>IF((Calculation!H170-Calculation!$E$105)&gt;=0,"YES","NO")</f>
        <v>NO</v>
      </c>
      <c r="G170" s="85">
        <v>59</v>
      </c>
      <c r="H170" s="1" cm="1">
        <f t="array" ref="H170">_xlfn.XLOOKUP(Form!$L$4,Max!$C$2:$E$2,_xlfn.XLOOKUP(G170,Max!$A$4:$A$103,Max!$C$4:$E$103))</f>
        <v>0.86509999999999998</v>
      </c>
      <c r="J170" s="81">
        <f t="shared" si="33"/>
        <v>-0.12871244350136868</v>
      </c>
    </row>
    <row r="171" spans="6:10">
      <c r="F171" s="1" t="str">
        <f>IF((Calculation!H171-Calculation!$E$105)&gt;=0,"YES","NO")</f>
        <v>NO</v>
      </c>
      <c r="G171" s="91">
        <v>58</v>
      </c>
      <c r="H171" s="1" cm="1">
        <f t="array" ref="H171">_xlfn.XLOOKUP(Form!$L$4,Max!$C$2:$E$2,_xlfn.XLOOKUP(G171,Max!$A$4:$A$103,Max!$C$4:$E$103))</f>
        <v>0.87429999999999997</v>
      </c>
      <c r="J171" s="81">
        <f t="shared" si="33"/>
        <v>-0.11951244350136869</v>
      </c>
    </row>
    <row r="172" spans="6:10">
      <c r="F172" s="1" t="str">
        <f>IF((Calculation!H172-Calculation!$E$105)&gt;=0,"YES","NO")</f>
        <v>NO</v>
      </c>
      <c r="G172" s="85">
        <v>57</v>
      </c>
      <c r="H172" s="1" cm="1">
        <f t="array" ref="H172">_xlfn.XLOOKUP(Form!$L$4,Max!$C$2:$E$2,_xlfn.XLOOKUP(G172,Max!$A$4:$A$103,Max!$C$4:$E$103))</f>
        <v>0.88360000000000005</v>
      </c>
      <c r="J172" s="81">
        <f t="shared" si="33"/>
        <v>-0.11021244350136861</v>
      </c>
    </row>
    <row r="173" spans="6:10">
      <c r="F173" s="1" t="str">
        <f>IF((Calculation!H173-Calculation!$E$105)&gt;=0,"YES","NO")</f>
        <v>NO</v>
      </c>
      <c r="G173" s="91">
        <v>56</v>
      </c>
      <c r="H173" s="1" cm="1">
        <f t="array" ref="H173">_xlfn.XLOOKUP(Form!$L$4,Max!$C$2:$E$2,_xlfn.XLOOKUP(G173,Max!$A$4:$A$103,Max!$C$4:$E$103))</f>
        <v>0.89280000000000004</v>
      </c>
      <c r="J173" s="81">
        <f t="shared" si="33"/>
        <v>-0.10101244350136862</v>
      </c>
    </row>
    <row r="174" spans="6:10">
      <c r="F174" s="1" t="str">
        <f>IF((Calculation!H174-Calculation!$E$105)&gt;=0,"YES","NO")</f>
        <v>NO</v>
      </c>
      <c r="G174" s="85">
        <v>55</v>
      </c>
      <c r="H174" s="1" cm="1">
        <f t="array" ref="H174">_xlfn.XLOOKUP(Form!$L$4,Max!$C$2:$E$2,_xlfn.XLOOKUP(G174,Max!$A$4:$A$103,Max!$C$4:$E$103))</f>
        <v>0.90210000000000001</v>
      </c>
      <c r="J174" s="81">
        <f t="shared" si="33"/>
        <v>-9.1712443501368646E-2</v>
      </c>
    </row>
    <row r="175" spans="6:10">
      <c r="F175" s="1" t="str">
        <f>IF((Calculation!H175-Calculation!$E$105)&gt;=0,"YES","NO")</f>
        <v>NO</v>
      </c>
      <c r="G175" s="91">
        <v>54</v>
      </c>
      <c r="H175" s="1" cm="1">
        <f t="array" ref="H175">_xlfn.XLOOKUP(Form!$L$4,Max!$C$2:$E$2,_xlfn.XLOOKUP(G175,Max!$A$4:$A$103,Max!$C$4:$E$103))</f>
        <v>0.91139999999999999</v>
      </c>
      <c r="J175" s="81">
        <f t="shared" si="33"/>
        <v>-8.2412443501368671E-2</v>
      </c>
    </row>
    <row r="176" spans="6:10">
      <c r="F176" s="1" t="str">
        <f>IF((Calculation!H176-Calculation!$E$105)&gt;=0,"YES","NO")</f>
        <v>NO</v>
      </c>
      <c r="G176" s="85">
        <v>53</v>
      </c>
      <c r="H176" s="1" cm="1">
        <f t="array" ref="H176">_xlfn.XLOOKUP(Form!$L$4,Max!$C$2:$E$2,_xlfn.XLOOKUP(G176,Max!$A$4:$A$103,Max!$C$4:$E$103))</f>
        <v>0.92069999999999996</v>
      </c>
      <c r="J176" s="81">
        <f t="shared" si="33"/>
        <v>-7.3112443501368696E-2</v>
      </c>
    </row>
    <row r="177" spans="6:10">
      <c r="F177" s="1" t="str">
        <f>IF((Calculation!H177-Calculation!$E$105)&gt;=0,"YES","NO")</f>
        <v>NO</v>
      </c>
      <c r="G177" s="91">
        <v>52</v>
      </c>
      <c r="H177" s="1" cm="1">
        <f t="array" ref="H177">_xlfn.XLOOKUP(Form!$L$4,Max!$C$2:$E$2,_xlfn.XLOOKUP(G177,Max!$A$4:$A$103,Max!$C$4:$E$103))</f>
        <v>0.93010000000000004</v>
      </c>
      <c r="J177" s="81">
        <f t="shared" si="33"/>
        <v>-6.3712443501368621E-2</v>
      </c>
    </row>
    <row r="178" spans="6:10">
      <c r="F178" s="1" t="str">
        <f>IF((Calculation!H178-Calculation!$E$105)&gt;=0,"YES","NO")</f>
        <v>NO</v>
      </c>
      <c r="G178" s="85">
        <v>51</v>
      </c>
      <c r="H178" s="1" cm="1">
        <f t="array" ref="H178">_xlfn.XLOOKUP(Form!$L$4,Max!$C$2:$E$2,_xlfn.XLOOKUP(G178,Max!$A$4:$A$103,Max!$C$4:$E$103))</f>
        <v>0.93959999999999999</v>
      </c>
      <c r="J178" s="81">
        <f t="shared" si="33"/>
        <v>-5.4212443501368668E-2</v>
      </c>
    </row>
    <row r="179" spans="6:10">
      <c r="F179" s="1" t="str">
        <f>IF((Calculation!H179-Calculation!$E$105)&gt;=0,"YES","NO")</f>
        <v>NO</v>
      </c>
      <c r="G179" s="91">
        <v>50</v>
      </c>
      <c r="H179" s="1" cm="1">
        <f t="array" ref="H179">_xlfn.XLOOKUP(Form!$L$4,Max!$C$2:$E$2,_xlfn.XLOOKUP(G179,Max!$A$4:$A$103,Max!$C$4:$E$103))</f>
        <v>0.94910000000000005</v>
      </c>
      <c r="J179" s="81">
        <f t="shared" si="33"/>
        <v>-4.4712443501368604E-2</v>
      </c>
    </row>
    <row r="180" spans="6:10">
      <c r="F180" s="1" t="str">
        <f>IF((Calculation!H180-Calculation!$E$105)&gt;=0,"YES","NO")</f>
        <v>NO</v>
      </c>
      <c r="G180" s="85">
        <v>49</v>
      </c>
      <c r="H180" s="1" cm="1">
        <f t="array" ref="H180">_xlfn.XLOOKUP(Form!$L$4,Max!$C$2:$E$2,_xlfn.XLOOKUP(G180,Max!$A$4:$A$103,Max!$C$4:$E$103))</f>
        <v>0.9587</v>
      </c>
      <c r="J180" s="81">
        <f t="shared" si="33"/>
        <v>-3.5112443501368662E-2</v>
      </c>
    </row>
    <row r="181" spans="6:10">
      <c r="F181" s="1" t="str">
        <f>IF((Calculation!H181-Calculation!$E$105)&gt;=0,"YES","NO")</f>
        <v>NO</v>
      </c>
      <c r="G181" s="91">
        <v>48</v>
      </c>
      <c r="H181" s="1" cm="1">
        <f t="array" ref="H181">_xlfn.XLOOKUP(Form!$L$4,Max!$C$2:$E$2,_xlfn.XLOOKUP(G181,Max!$A$4:$A$103,Max!$C$4:$E$103))</f>
        <v>0.96830000000000005</v>
      </c>
      <c r="J181" s="81">
        <f t="shared" si="33"/>
        <v>-2.5512443501368609E-2</v>
      </c>
    </row>
    <row r="182" spans="6:10">
      <c r="F182" s="1" t="str">
        <f>IF((Calculation!H182-Calculation!$E$105)&gt;=0,"YES","NO")</f>
        <v>NO</v>
      </c>
      <c r="G182" s="85">
        <v>47</v>
      </c>
      <c r="H182" s="1" cm="1">
        <f t="array" ref="H182">_xlfn.XLOOKUP(Form!$L$4,Max!$C$2:$E$2,_xlfn.XLOOKUP(G182,Max!$A$4:$A$103,Max!$C$4:$E$103))</f>
        <v>0.97799999999999998</v>
      </c>
      <c r="J182" s="81">
        <f t="shared" si="33"/>
        <v>-1.5812443501368678E-2</v>
      </c>
    </row>
    <row r="183" spans="6:10">
      <c r="F183" s="1" t="str">
        <f>IF((Calculation!H183-Calculation!$E$105)&gt;=0,"YES","NO")</f>
        <v>NO</v>
      </c>
      <c r="G183" s="91">
        <v>46</v>
      </c>
      <c r="H183" s="1" cm="1">
        <f t="array" ref="H183">_xlfn.XLOOKUP(Form!$L$4,Max!$C$2:$E$2,_xlfn.XLOOKUP(G183,Max!$A$4:$A$103,Max!$C$4:$E$103))</f>
        <v>0.98780000000000001</v>
      </c>
      <c r="J183" s="81">
        <f t="shared" si="33"/>
        <v>-6.0124435013686472E-3</v>
      </c>
    </row>
    <row r="184" spans="6:10">
      <c r="F184" s="1" t="str">
        <f>IF((Calculation!H184-Calculation!$E$105)&gt;=0,"YES","NO")</f>
        <v>YES</v>
      </c>
      <c r="G184" s="85">
        <v>45</v>
      </c>
      <c r="H184" s="1" cm="1">
        <f t="array" ref="H184">_xlfn.XLOOKUP(Form!$L$4,Max!$C$2:$E$2,_xlfn.XLOOKUP(G184,Max!$A$4:$A$103,Max!$C$4:$E$103))</f>
        <v>0.99770000000000003</v>
      </c>
      <c r="J184" s="81">
        <f t="shared" si="33"/>
        <v>3.8875564986313726E-3</v>
      </c>
    </row>
    <row r="185" spans="6:10">
      <c r="F185" s="1" t="str">
        <f>IF((Calculation!H185-Calculation!$E$105)&gt;=0,"YES","NO")</f>
        <v>YES</v>
      </c>
      <c r="G185" s="91">
        <v>44</v>
      </c>
      <c r="H185" s="1" cm="1">
        <f t="array" ref="H185">_xlfn.XLOOKUP(Form!$L$4,Max!$C$2:$E$2,_xlfn.XLOOKUP(G185,Max!$A$4:$A$103,Max!$C$4:$E$103))</f>
        <v>1.0077</v>
      </c>
      <c r="J185" s="81">
        <f t="shared" si="33"/>
        <v>1.3887556498631382E-2</v>
      </c>
    </row>
    <row r="186" spans="6:10">
      <c r="F186" s="1" t="str">
        <f>IF((Calculation!H186-Calculation!$E$105)&gt;=0,"YES","NO")</f>
        <v>YES</v>
      </c>
      <c r="G186" s="85">
        <v>43</v>
      </c>
      <c r="H186" s="1" cm="1">
        <f t="array" ref="H186">_xlfn.XLOOKUP(Form!$L$4,Max!$C$2:$E$2,_xlfn.XLOOKUP(G186,Max!$A$4:$A$103,Max!$C$4:$E$103))</f>
        <v>1.0178</v>
      </c>
      <c r="J186" s="81">
        <f t="shared" si="33"/>
        <v>2.3987556498631379E-2</v>
      </c>
    </row>
    <row r="187" spans="6:10">
      <c r="F187" s="1" t="str">
        <f>IF((Calculation!H187-Calculation!$E$105)&gt;=0,"YES","NO")</f>
        <v>YES</v>
      </c>
      <c r="G187" s="91">
        <v>42</v>
      </c>
      <c r="H187" s="1" cm="1">
        <f t="array" ref="H187">_xlfn.XLOOKUP(Form!$L$4,Max!$C$2:$E$2,_xlfn.XLOOKUP(G187,Max!$A$4:$A$103,Max!$C$4:$E$103))</f>
        <v>1.028</v>
      </c>
      <c r="J187" s="81">
        <f t="shared" si="33"/>
        <v>3.4187556498631366E-2</v>
      </c>
    </row>
    <row r="188" spans="6:10">
      <c r="F188" s="1" t="str">
        <f>IF((Calculation!H188-Calculation!$E$105)&gt;=0,"YES","NO")</f>
        <v>YES</v>
      </c>
      <c r="G188" s="85">
        <v>41</v>
      </c>
      <c r="H188" s="1" cm="1">
        <f t="array" ref="H188">_xlfn.XLOOKUP(Form!$L$4,Max!$C$2:$E$2,_xlfn.XLOOKUP(G188,Max!$A$4:$A$103,Max!$C$4:$E$103))</f>
        <v>1.0383</v>
      </c>
      <c r="J188" s="81">
        <f t="shared" si="33"/>
        <v>4.4487556498631342E-2</v>
      </c>
    </row>
    <row r="189" spans="6:10">
      <c r="F189" s="1" t="str">
        <f>IF((Calculation!H189-Calculation!$E$105)&gt;=0,"YES","NO")</f>
        <v>YES</v>
      </c>
      <c r="G189" s="91">
        <v>40</v>
      </c>
      <c r="H189" s="1" cm="1">
        <f t="array" ref="H189">_xlfn.XLOOKUP(Form!$L$4,Max!$C$2:$E$2,_xlfn.XLOOKUP(G189,Max!$A$4:$A$103,Max!$C$4:$E$103))</f>
        <v>1.0488</v>
      </c>
      <c r="J189" s="81">
        <f t="shared" si="33"/>
        <v>5.4987556498631296E-2</v>
      </c>
    </row>
    <row r="190" spans="6:10">
      <c r="F190" s="1" t="str">
        <f>IF((Calculation!H190-Calculation!$E$105)&gt;=0,"YES","NO")</f>
        <v>YES</v>
      </c>
      <c r="G190" s="85">
        <v>39</v>
      </c>
      <c r="H190" s="1" cm="1">
        <f t="array" ref="H190">_xlfn.XLOOKUP(Form!$L$4,Max!$C$2:$E$2,_xlfn.XLOOKUP(G190,Max!$A$4:$A$103,Max!$C$4:$E$103))</f>
        <v>1.0593999999999999</v>
      </c>
      <c r="J190" s="81">
        <f t="shared" si="33"/>
        <v>6.5587556498631239E-2</v>
      </c>
    </row>
    <row r="191" spans="6:10">
      <c r="F191" s="1" t="str">
        <f>IF((Calculation!H191-Calculation!$E$105)&gt;=0,"YES","NO")</f>
        <v>YES</v>
      </c>
      <c r="G191" s="91">
        <v>38</v>
      </c>
      <c r="H191" s="1" cm="1">
        <f t="array" ref="H191">_xlfn.XLOOKUP(Form!$L$4,Max!$C$2:$E$2,_xlfn.XLOOKUP(G191,Max!$A$4:$A$103,Max!$C$4:$E$103))</f>
        <v>1.0701000000000001</v>
      </c>
      <c r="J191" s="81">
        <f t="shared" si="33"/>
        <v>7.6287556498631393E-2</v>
      </c>
    </row>
    <row r="192" spans="6:10">
      <c r="F192" s="1" t="str">
        <f>IF((Calculation!H192-Calculation!$E$105)&gt;=0,"YES","NO")</f>
        <v>YES</v>
      </c>
      <c r="G192" s="85">
        <v>37</v>
      </c>
      <c r="H192" s="1" cm="1">
        <f t="array" ref="H192">_xlfn.XLOOKUP(Form!$L$4,Max!$C$2:$E$2,_xlfn.XLOOKUP(G192,Max!$A$4:$A$103,Max!$C$4:$E$103))</f>
        <v>1.081</v>
      </c>
      <c r="J192" s="81">
        <f t="shared" si="33"/>
        <v>8.7187556498631302E-2</v>
      </c>
    </row>
    <row r="193" spans="6:10">
      <c r="F193" s="1" t="str">
        <f>IF((Calculation!H193-Calculation!$E$105)&gt;=0,"YES","NO")</f>
        <v>YES</v>
      </c>
      <c r="G193" s="91">
        <v>36</v>
      </c>
      <c r="H193" s="1" cm="1">
        <f t="array" ref="H193">_xlfn.XLOOKUP(Form!$L$4,Max!$C$2:$E$2,_xlfn.XLOOKUP(G193,Max!$A$4:$A$103,Max!$C$4:$E$103))</f>
        <v>1.0921000000000001</v>
      </c>
      <c r="J193" s="81">
        <f t="shared" si="33"/>
        <v>9.8287556498631412E-2</v>
      </c>
    </row>
    <row r="194" spans="6:10">
      <c r="F194" s="1" t="str">
        <f>IF((Calculation!H194-Calculation!$E$105)&gt;=0,"YES","NO")</f>
        <v>YES</v>
      </c>
      <c r="G194" s="85">
        <v>35</v>
      </c>
      <c r="H194" s="1" cm="1">
        <f t="array" ref="H194">_xlfn.XLOOKUP(Form!$L$4,Max!$C$2:$E$2,_xlfn.XLOOKUP(G194,Max!$A$4:$A$103,Max!$C$4:$E$103))</f>
        <v>1.1033999999999999</v>
      </c>
      <c r="J194" s="81">
        <f t="shared" ref="J194:J228" si="34">H194-$E$105</f>
        <v>0.10958755649863128</v>
      </c>
    </row>
    <row r="195" spans="6:10">
      <c r="F195" s="1" t="str">
        <f>IF((Calculation!H195-Calculation!$E$105)&gt;=0,"YES","NO")</f>
        <v>YES</v>
      </c>
      <c r="G195" s="91">
        <v>34</v>
      </c>
      <c r="H195" s="1" cm="1">
        <f t="array" ref="H195">_xlfn.XLOOKUP(Form!$L$4,Max!$C$2:$E$2,_xlfn.XLOOKUP(G195,Max!$A$4:$A$103,Max!$C$4:$E$103))</f>
        <v>1.1148</v>
      </c>
      <c r="J195" s="81">
        <f t="shared" si="34"/>
        <v>0.12098755649863135</v>
      </c>
    </row>
    <row r="196" spans="6:10">
      <c r="F196" s="1" t="str">
        <f>IF((Calculation!H196-Calculation!$E$105)&gt;=0,"YES","NO")</f>
        <v>YES</v>
      </c>
      <c r="G196" s="85">
        <v>33</v>
      </c>
      <c r="H196" s="1" cm="1">
        <f t="array" ref="H196">_xlfn.XLOOKUP(Form!$L$4,Max!$C$2:$E$2,_xlfn.XLOOKUP(G196,Max!$A$4:$A$103,Max!$C$4:$E$103))</f>
        <v>1.1265000000000001</v>
      </c>
      <c r="J196" s="81">
        <f t="shared" si="34"/>
        <v>0.1326875564986314</v>
      </c>
    </row>
    <row r="197" spans="6:10">
      <c r="F197" s="1" t="str">
        <f>IF((Calculation!H197-Calculation!$E$105)&gt;=0,"YES","NO")</f>
        <v>YES</v>
      </c>
      <c r="G197" s="91">
        <v>32</v>
      </c>
      <c r="H197" s="1" cm="1">
        <f t="array" ref="H197">_xlfn.XLOOKUP(Form!$L$4,Max!$C$2:$E$2,_xlfn.XLOOKUP(G197,Max!$A$4:$A$103,Max!$C$4:$E$103))</f>
        <v>1.1384000000000001</v>
      </c>
      <c r="J197" s="81">
        <f t="shared" si="34"/>
        <v>0.14458755649863142</v>
      </c>
    </row>
    <row r="198" spans="6:10">
      <c r="F198" s="1" t="str">
        <f>IF((Calculation!H198-Calculation!$E$105)&gt;=0,"YES","NO")</f>
        <v>YES</v>
      </c>
      <c r="G198" s="85">
        <v>31</v>
      </c>
      <c r="H198" s="1" cm="1">
        <f t="array" ref="H198">_xlfn.XLOOKUP(Form!$L$4,Max!$C$2:$E$2,_xlfn.XLOOKUP(G198,Max!$A$4:$A$103,Max!$C$4:$E$103))</f>
        <v>1.1505000000000001</v>
      </c>
      <c r="J198" s="81">
        <f t="shared" si="34"/>
        <v>0.15668755649863142</v>
      </c>
    </row>
    <row r="199" spans="6:10">
      <c r="F199" s="1" t="str">
        <f>IF((Calculation!H199-Calculation!$E$105)&gt;=0,"YES","NO")</f>
        <v>YES</v>
      </c>
      <c r="G199" s="91">
        <v>30</v>
      </c>
      <c r="H199" s="1" cm="1">
        <f t="array" ref="H199">_xlfn.XLOOKUP(Form!$L$4,Max!$C$2:$E$2,_xlfn.XLOOKUP(G199,Max!$A$4:$A$103,Max!$C$4:$E$103))</f>
        <v>1.1629</v>
      </c>
      <c r="J199" s="81">
        <f t="shared" si="34"/>
        <v>0.16908755649863139</v>
      </c>
    </row>
    <row r="200" spans="6:10">
      <c r="F200" s="1" t="str">
        <f>IF((Calculation!H200-Calculation!$E$105)&gt;=0,"YES","NO")</f>
        <v>YES</v>
      </c>
      <c r="G200" s="85">
        <v>29</v>
      </c>
      <c r="H200" s="1" cm="1">
        <f t="array" ref="H200">_xlfn.XLOOKUP(Form!$L$4,Max!$C$2:$E$2,_xlfn.XLOOKUP(G200,Max!$A$4:$A$103,Max!$C$4:$E$103))</f>
        <v>1.1755</v>
      </c>
      <c r="J200" s="81">
        <f t="shared" si="34"/>
        <v>0.18168755649863133</v>
      </c>
    </row>
    <row r="201" spans="6:10">
      <c r="F201" s="1" t="str">
        <f>IF((Calculation!H201-Calculation!$E$105)&gt;=0,"YES","NO")</f>
        <v>YES</v>
      </c>
      <c r="G201" s="91">
        <v>28</v>
      </c>
      <c r="H201" s="1" cm="1">
        <f t="array" ref="H201">_xlfn.XLOOKUP(Form!$L$4,Max!$C$2:$E$2,_xlfn.XLOOKUP(G201,Max!$A$4:$A$103,Max!$C$4:$E$103))</f>
        <v>1.1884999999999999</v>
      </c>
      <c r="J201" s="81">
        <f t="shared" si="34"/>
        <v>0.19468755649863123</v>
      </c>
    </row>
    <row r="202" spans="6:10">
      <c r="F202" s="1" t="str">
        <f>IF((Calculation!H202-Calculation!$E$105)&gt;=0,"YES","NO")</f>
        <v>YES</v>
      </c>
      <c r="G202" s="85">
        <v>27</v>
      </c>
      <c r="H202" s="1" cm="1">
        <f t="array" ref="H202">_xlfn.XLOOKUP(Form!$L$4,Max!$C$2:$E$2,_xlfn.XLOOKUP(G202,Max!$A$4:$A$103,Max!$C$4:$E$103))</f>
        <v>1.2018</v>
      </c>
      <c r="J202" s="81">
        <f t="shared" si="34"/>
        <v>0.20798755649863132</v>
      </c>
    </row>
    <row r="203" spans="6:10">
      <c r="F203" s="1" t="str">
        <f>IF((Calculation!H203-Calculation!$E$105)&gt;=0,"YES","NO")</f>
        <v>YES</v>
      </c>
      <c r="G203" s="91">
        <v>26</v>
      </c>
      <c r="H203" s="1" cm="1">
        <f t="array" ref="H203">_xlfn.XLOOKUP(Form!$L$4,Max!$C$2:$E$2,_xlfn.XLOOKUP(G203,Max!$A$4:$A$103,Max!$C$4:$E$103))</f>
        <v>1.2154</v>
      </c>
      <c r="J203" s="81">
        <f t="shared" si="34"/>
        <v>0.22158755649863138</v>
      </c>
    </row>
    <row r="204" spans="6:10">
      <c r="F204" s="1" t="str">
        <f>IF((Calculation!H204-Calculation!$E$105)&gt;=0,"YES","NO")</f>
        <v>YES</v>
      </c>
      <c r="G204" s="85">
        <v>25</v>
      </c>
      <c r="H204" s="1" cm="1">
        <f t="array" ref="H204">_xlfn.XLOOKUP(Form!$L$4,Max!$C$2:$E$2,_xlfn.XLOOKUP(G204,Max!$A$4:$A$103,Max!$C$4:$E$103))</f>
        <v>1.2294</v>
      </c>
      <c r="J204" s="81">
        <f t="shared" si="34"/>
        <v>0.23558755649863139</v>
      </c>
    </row>
    <row r="205" spans="6:10">
      <c r="F205" s="1" t="str">
        <f>IF((Calculation!H205-Calculation!$E$105)&gt;=0,"YES","NO")</f>
        <v>YES</v>
      </c>
      <c r="G205" s="91">
        <v>24</v>
      </c>
      <c r="H205" s="1" cm="1">
        <f t="array" ref="H205">_xlfn.XLOOKUP(Form!$L$4,Max!$C$2:$E$2,_xlfn.XLOOKUP(G205,Max!$A$4:$A$103,Max!$C$4:$E$103))</f>
        <v>1.2439</v>
      </c>
      <c r="J205" s="81">
        <f t="shared" si="34"/>
        <v>0.25008755649863135</v>
      </c>
    </row>
    <row r="206" spans="6:10">
      <c r="F206" s="1" t="str">
        <f>IF((Calculation!H206-Calculation!$E$105)&gt;=0,"YES","NO")</f>
        <v>YES</v>
      </c>
      <c r="G206" s="85">
        <v>23</v>
      </c>
      <c r="H206" s="1" cm="1">
        <f t="array" ref="H206">_xlfn.XLOOKUP(Form!$L$4,Max!$C$2:$E$2,_xlfn.XLOOKUP(G206,Max!$A$4:$A$103,Max!$C$4:$E$103))</f>
        <v>1.2586999999999999</v>
      </c>
      <c r="J206" s="81">
        <f t="shared" si="34"/>
        <v>0.26488755649863127</v>
      </c>
    </row>
    <row r="207" spans="6:10">
      <c r="F207" s="1" t="str">
        <f>IF((Calculation!H207-Calculation!$E$105)&gt;=0,"YES","NO")</f>
        <v>YES</v>
      </c>
      <c r="G207" s="91">
        <v>22</v>
      </c>
      <c r="H207" s="1" cm="1">
        <f t="array" ref="H207">_xlfn.XLOOKUP(Form!$L$4,Max!$C$2:$E$2,_xlfn.XLOOKUP(G207,Max!$A$4:$A$103,Max!$C$4:$E$103))</f>
        <v>1.2741</v>
      </c>
      <c r="J207" s="81">
        <f t="shared" si="34"/>
        <v>0.28028755649863135</v>
      </c>
    </row>
    <row r="208" spans="6:10">
      <c r="F208" s="1" t="str">
        <f>IF((Calculation!H208-Calculation!$E$105)&gt;=0,"YES","NO")</f>
        <v>YES</v>
      </c>
      <c r="G208" s="85">
        <v>21</v>
      </c>
      <c r="H208" s="1" cm="1">
        <f t="array" ref="H208">_xlfn.XLOOKUP(Form!$L$4,Max!$C$2:$E$2,_xlfn.XLOOKUP(G208,Max!$A$4:$A$103,Max!$C$4:$E$103))</f>
        <v>1.29</v>
      </c>
      <c r="J208" s="81">
        <f t="shared" si="34"/>
        <v>0.29618755649863138</v>
      </c>
    </row>
    <row r="209" spans="6:10">
      <c r="F209" s="1" t="str">
        <f>IF((Calculation!H209-Calculation!$E$105)&gt;=0,"YES","NO")</f>
        <v>YES</v>
      </c>
      <c r="G209" s="91">
        <v>20</v>
      </c>
      <c r="H209" s="1" cm="1">
        <f t="array" ref="H209">_xlfn.XLOOKUP(Form!$L$4,Max!$C$2:$E$2,_xlfn.XLOOKUP(G209,Max!$A$4:$A$103,Max!$C$4:$E$103))</f>
        <v>1.3064</v>
      </c>
      <c r="J209" s="81">
        <f t="shared" si="34"/>
        <v>0.31258755649863135</v>
      </c>
    </row>
    <row r="210" spans="6:10">
      <c r="F210" s="1" t="str">
        <f>IF((Calculation!H210-Calculation!$E$105)&gt;=0,"YES","NO")</f>
        <v>YES</v>
      </c>
      <c r="G210" s="85">
        <v>19</v>
      </c>
      <c r="H210" s="1" cm="1">
        <f t="array" ref="H210">_xlfn.XLOOKUP(Form!$L$4,Max!$C$2:$E$2,_xlfn.XLOOKUP(G210,Max!$A$4:$A$103,Max!$C$4:$E$103))</f>
        <v>1.3236000000000001</v>
      </c>
      <c r="J210" s="81">
        <f t="shared" si="34"/>
        <v>0.32978755649863145</v>
      </c>
    </row>
    <row r="211" spans="6:10">
      <c r="F211" s="1" t="str">
        <f>IF((Calculation!H211-Calculation!$E$105)&gt;=0,"YES","NO")</f>
        <v>YES</v>
      </c>
      <c r="G211" s="91">
        <v>18</v>
      </c>
      <c r="H211" s="1" cm="1">
        <f t="array" ref="H211">_xlfn.XLOOKUP(Form!$L$4,Max!$C$2:$E$2,_xlfn.XLOOKUP(G211,Max!$A$4:$A$103,Max!$C$4:$E$103))</f>
        <v>1.3413999999999999</v>
      </c>
      <c r="J211" s="81">
        <f t="shared" si="34"/>
        <v>0.34758755649863127</v>
      </c>
    </row>
    <row r="212" spans="6:10">
      <c r="F212" s="1" t="str">
        <f>IF((Calculation!H212-Calculation!$E$105)&gt;=0,"YES","NO")</f>
        <v>YES</v>
      </c>
      <c r="G212" s="85">
        <v>17</v>
      </c>
      <c r="H212" s="1" cm="1">
        <f t="array" ref="H212">_xlfn.XLOOKUP(Form!$L$4,Max!$C$2:$E$2,_xlfn.XLOOKUP(G212,Max!$A$4:$A$103,Max!$C$4:$E$103))</f>
        <v>1.36</v>
      </c>
      <c r="J212" s="81">
        <f t="shared" si="34"/>
        <v>0.36618755649863144</v>
      </c>
    </row>
    <row r="213" spans="6:10">
      <c r="F213" s="1" t="str">
        <f>IF((Calculation!H213-Calculation!$E$105)&gt;=0,"YES","NO")</f>
        <v>YES</v>
      </c>
      <c r="G213" s="91">
        <v>16</v>
      </c>
      <c r="H213" s="1" cm="1">
        <f t="array" ref="H213">_xlfn.XLOOKUP(Form!$L$4,Max!$C$2:$E$2,_xlfn.XLOOKUP(G213,Max!$A$4:$A$103,Max!$C$4:$E$103))</f>
        <v>1.3795999999999999</v>
      </c>
      <c r="J213" s="81">
        <f t="shared" si="34"/>
        <v>0.38578755649863128</v>
      </c>
    </row>
    <row r="214" spans="6:10">
      <c r="F214" s="1" t="str">
        <f>IF((Calculation!H214-Calculation!$E$105)&gt;=0,"YES","NO")</f>
        <v>YES</v>
      </c>
      <c r="G214" s="85">
        <v>15</v>
      </c>
      <c r="H214" s="1" cm="1">
        <f t="array" ref="H214">_xlfn.XLOOKUP(Form!$L$4,Max!$C$2:$E$2,_xlfn.XLOOKUP(G214,Max!$A$4:$A$103,Max!$C$4:$E$103))</f>
        <v>1.4000999999999999</v>
      </c>
      <c r="J214" s="81">
        <f t="shared" si="34"/>
        <v>0.40628755649863124</v>
      </c>
    </row>
    <row r="215" spans="6:10">
      <c r="F215" s="1" t="str">
        <f>IF((Calculation!H215-Calculation!$E$105)&gt;=0,"YES","NO")</f>
        <v>YES</v>
      </c>
      <c r="G215" s="91">
        <v>14</v>
      </c>
      <c r="H215" s="1" cm="1">
        <f t="array" ref="H215">_xlfn.XLOOKUP(Form!$L$4,Max!$C$2:$E$2,_xlfn.XLOOKUP(G215,Max!$A$4:$A$103,Max!$C$4:$E$103))</f>
        <v>1.4218</v>
      </c>
      <c r="J215" s="81">
        <f t="shared" si="34"/>
        <v>0.42798755649863129</v>
      </c>
    </row>
    <row r="216" spans="6:10">
      <c r="F216" s="1" t="str">
        <f>IF((Calculation!H216-Calculation!$E$105)&gt;=0,"YES","NO")</f>
        <v>YES</v>
      </c>
      <c r="G216" s="85">
        <v>13</v>
      </c>
      <c r="H216" s="1" cm="1">
        <f t="array" ref="H216">_xlfn.XLOOKUP(Form!$L$4,Max!$C$2:$E$2,_xlfn.XLOOKUP(G216,Max!$A$4:$A$103,Max!$C$4:$E$103))</f>
        <v>1.4448000000000001</v>
      </c>
      <c r="J216" s="81">
        <f t="shared" si="34"/>
        <v>0.45098755649863143</v>
      </c>
    </row>
    <row r="217" spans="6:10">
      <c r="F217" s="1" t="str">
        <f>IF((Calculation!H217-Calculation!$E$105)&gt;=0,"YES","NO")</f>
        <v>YES</v>
      </c>
      <c r="G217" s="91">
        <v>12</v>
      </c>
      <c r="H217" s="1" cm="1">
        <f t="array" ref="H217">_xlfn.XLOOKUP(Form!$L$4,Max!$C$2:$E$2,_xlfn.XLOOKUP(G217,Max!$A$4:$A$103,Max!$C$4:$E$103))</f>
        <v>1.4693000000000001</v>
      </c>
      <c r="J217" s="81">
        <f t="shared" si="34"/>
        <v>0.47548755649863139</v>
      </c>
    </row>
    <row r="218" spans="6:10">
      <c r="F218" s="1" t="str">
        <f>IF((Calculation!H218-Calculation!$E$105)&gt;=0,"YES","NO")</f>
        <v>YES</v>
      </c>
      <c r="G218" s="85">
        <v>11</v>
      </c>
      <c r="H218" s="1" cm="1">
        <f t="array" ref="H218">_xlfn.XLOOKUP(Form!$L$4,Max!$C$2:$E$2,_xlfn.XLOOKUP(G218,Max!$A$4:$A$103,Max!$C$4:$E$103))</f>
        <v>1.4956</v>
      </c>
      <c r="J218" s="81">
        <f t="shared" si="34"/>
        <v>0.50178755649863138</v>
      </c>
    </row>
    <row r="219" spans="6:10">
      <c r="F219" s="1" t="str">
        <f>IF((Calculation!H219-Calculation!$E$105)&gt;=0,"YES","NO")</f>
        <v>YES</v>
      </c>
      <c r="G219" s="91">
        <v>10</v>
      </c>
      <c r="H219" s="1" cm="1">
        <f t="array" ref="H219">_xlfn.XLOOKUP(Form!$L$4,Max!$C$2:$E$2,_xlfn.XLOOKUP(G219,Max!$A$4:$A$103,Max!$C$4:$E$103))</f>
        <v>1.5239</v>
      </c>
      <c r="J219" s="81">
        <f t="shared" si="34"/>
        <v>0.53008755649863137</v>
      </c>
    </row>
    <row r="220" spans="6:10">
      <c r="F220" s="1" t="str">
        <f>IF((Calculation!H220-Calculation!$E$105)&gt;=0,"YES","NO")</f>
        <v>YES</v>
      </c>
      <c r="G220" s="85">
        <v>9</v>
      </c>
      <c r="H220" s="1" cm="1">
        <f t="array" ref="H220">_xlfn.XLOOKUP(Form!$L$4,Max!$C$2:$E$2,_xlfn.XLOOKUP(G220,Max!$A$4:$A$103,Max!$C$4:$E$103))</f>
        <v>1.5548999999999999</v>
      </c>
      <c r="J220" s="81">
        <f t="shared" si="34"/>
        <v>0.56108755649863129</v>
      </c>
    </row>
    <row r="221" spans="6:10">
      <c r="F221" s="1" t="str">
        <f>IF((Calculation!H221-Calculation!$E$105)&gt;=0,"YES","NO")</f>
        <v>YES</v>
      </c>
      <c r="G221" s="91">
        <v>8</v>
      </c>
      <c r="H221" s="1" cm="1">
        <f t="array" ref="H221">_xlfn.XLOOKUP(Form!$L$4,Max!$C$2:$E$2,_xlfn.XLOOKUP(G221,Max!$A$4:$A$103,Max!$C$4:$E$103))</f>
        <v>1.5889</v>
      </c>
      <c r="J221" s="81">
        <f t="shared" si="34"/>
        <v>0.59508755649863132</v>
      </c>
    </row>
    <row r="222" spans="6:10">
      <c r="F222" s="1" t="str">
        <f>IF((Calculation!H222-Calculation!$E$105)&gt;=0,"YES","NO")</f>
        <v>YES</v>
      </c>
      <c r="G222" s="85">
        <v>7</v>
      </c>
      <c r="H222" s="1" cm="1">
        <f t="array" ref="H222">_xlfn.XLOOKUP(Form!$L$4,Max!$C$2:$E$2,_xlfn.XLOOKUP(G222,Max!$A$4:$A$103,Max!$C$4:$E$103))</f>
        <v>1.627</v>
      </c>
      <c r="J222" s="81">
        <f t="shared" si="34"/>
        <v>0.63318755649863134</v>
      </c>
    </row>
    <row r="223" spans="6:10">
      <c r="F223" s="1" t="str">
        <f>IF((Calculation!H223-Calculation!$E$105)&gt;=0,"YES","NO")</f>
        <v>YES</v>
      </c>
      <c r="G223" s="91">
        <v>6</v>
      </c>
      <c r="H223" s="1" cm="1">
        <f t="array" ref="H223">_xlfn.XLOOKUP(Form!$L$4,Max!$C$2:$E$2,_xlfn.XLOOKUP(G223,Max!$A$4:$A$103,Max!$C$4:$E$103))</f>
        <v>1.6700999999999999</v>
      </c>
      <c r="J223" s="81">
        <f t="shared" si="34"/>
        <v>0.67628755649863126</v>
      </c>
    </row>
    <row r="224" spans="6:10">
      <c r="F224" s="1" t="str">
        <f>IF((Calculation!H224-Calculation!$E$105)&gt;=0,"YES","NO")</f>
        <v>YES</v>
      </c>
      <c r="G224" s="85">
        <v>5</v>
      </c>
      <c r="H224" s="1" cm="1">
        <f t="array" ref="H224">_xlfn.XLOOKUP(Form!$L$4,Max!$C$2:$E$2,_xlfn.XLOOKUP(G224,Max!$A$4:$A$103,Max!$C$4:$E$103))</f>
        <v>1.7201</v>
      </c>
      <c r="J224" s="81">
        <f t="shared" si="34"/>
        <v>0.7262875564986313</v>
      </c>
    </row>
    <row r="225" spans="6:10">
      <c r="F225" s="1" t="str">
        <f>IF((Calculation!H225-Calculation!$E$105)&gt;=0,"YES","NO")</f>
        <v>YES</v>
      </c>
      <c r="G225" s="91">
        <v>4</v>
      </c>
      <c r="H225" s="1" cm="1">
        <f t="array" ref="H225">_xlfn.XLOOKUP(Form!$L$4,Max!$C$2:$E$2,_xlfn.XLOOKUP(G225,Max!$A$4:$A$103,Max!$C$4:$E$103))</f>
        <v>1.7802</v>
      </c>
      <c r="J225" s="81">
        <f t="shared" si="34"/>
        <v>0.78638755649863135</v>
      </c>
    </row>
    <row r="226" spans="6:10">
      <c r="F226" s="1" t="str">
        <f>IF((Calculation!H226-Calculation!$E$105)&gt;=0,"YES","NO")</f>
        <v>YES</v>
      </c>
      <c r="G226" s="85">
        <v>3</v>
      </c>
      <c r="H226" s="1" cm="1">
        <f t="array" ref="H226">_xlfn.XLOOKUP(Form!$L$4,Max!$C$2:$E$2,_xlfn.XLOOKUP(G226,Max!$A$4:$A$103,Max!$C$4:$E$103))</f>
        <v>1.8557999999999999</v>
      </c>
      <c r="J226" s="81">
        <f t="shared" si="34"/>
        <v>0.86198755649863124</v>
      </c>
    </row>
    <row r="227" spans="6:10">
      <c r="F227" s="1" t="str">
        <f>IF((Calculation!H227-Calculation!$E$105)&gt;=0,"YES","NO")</f>
        <v>YES</v>
      </c>
      <c r="G227" s="91">
        <v>2</v>
      </c>
      <c r="H227" s="1" cm="1">
        <f t="array" ref="H227">_xlfn.XLOOKUP(Form!$L$4,Max!$C$2:$E$2,_xlfn.XLOOKUP(G227,Max!$A$4:$A$103,Max!$C$4:$E$103))</f>
        <v>1.9594</v>
      </c>
      <c r="J227" s="81">
        <f t="shared" si="34"/>
        <v>0.96558755649863137</v>
      </c>
    </row>
    <row r="228" spans="6:10">
      <c r="F228" s="1" t="str">
        <f>IF((Calculation!H228-Calculation!$E$105)&gt;=0,"YES","NO")</f>
        <v>YES</v>
      </c>
      <c r="G228" s="85">
        <v>1</v>
      </c>
      <c r="H228" s="1" cm="1">
        <f t="array" ref="H228">_xlfn.XLOOKUP(Form!$L$4,Max!$C$2:$E$2,_xlfn.XLOOKUP(G228,Max!$A$4:$A$103,Max!$C$4:$E$103))</f>
        <v>2.1299000000000001</v>
      </c>
      <c r="J228" s="81">
        <f t="shared" si="34"/>
        <v>1.1360875564986315</v>
      </c>
    </row>
  </sheetData>
  <mergeCells count="144">
    <mergeCell ref="A77:B77"/>
    <mergeCell ref="A79:B79"/>
    <mergeCell ref="A80:B80"/>
    <mergeCell ref="AG4:AJ4"/>
    <mergeCell ref="AA4:AF4"/>
    <mergeCell ref="R5:X5"/>
    <mergeCell ref="S6:T6"/>
    <mergeCell ref="S7:T7"/>
    <mergeCell ref="A48:B48"/>
    <mergeCell ref="S14:T14"/>
    <mergeCell ref="S15:T15"/>
    <mergeCell ref="S16:T16"/>
    <mergeCell ref="S17:T17"/>
    <mergeCell ref="M5:P5"/>
    <mergeCell ref="A50:B50"/>
    <mergeCell ref="A51:B51"/>
    <mergeCell ref="S11:T11"/>
    <mergeCell ref="S12:T12"/>
    <mergeCell ref="S13:T13"/>
    <mergeCell ref="A4:B6"/>
    <mergeCell ref="C4:Z4"/>
    <mergeCell ref="S18:T18"/>
    <mergeCell ref="S19:T19"/>
    <mergeCell ref="S20:T20"/>
    <mergeCell ref="W6:X6"/>
    <mergeCell ref="U6:V6"/>
    <mergeCell ref="S8:T8"/>
    <mergeCell ref="S9:T9"/>
    <mergeCell ref="S10:T10"/>
    <mergeCell ref="A66:D66"/>
    <mergeCell ref="A63:B63"/>
    <mergeCell ref="A56:B56"/>
    <mergeCell ref="A57:B57"/>
    <mergeCell ref="A58:B58"/>
    <mergeCell ref="A59:B59"/>
    <mergeCell ref="A60:B60"/>
    <mergeCell ref="A61:B61"/>
    <mergeCell ref="A62:B62"/>
    <mergeCell ref="A49:B49"/>
    <mergeCell ref="V77:W77"/>
    <mergeCell ref="V78:W78"/>
    <mergeCell ref="X80:Y80"/>
    <mergeCell ref="A67:B67"/>
    <mergeCell ref="A68:B68"/>
    <mergeCell ref="A69:B69"/>
    <mergeCell ref="A70:B70"/>
    <mergeCell ref="A71:B71"/>
    <mergeCell ref="A72:B72"/>
    <mergeCell ref="C73:D73"/>
    <mergeCell ref="G73:H73"/>
    <mergeCell ref="C74:D74"/>
    <mergeCell ref="C75:D75"/>
    <mergeCell ref="C76:D76"/>
    <mergeCell ref="C77:D77"/>
    <mergeCell ref="C78:D78"/>
    <mergeCell ref="C79:D79"/>
    <mergeCell ref="G74:H74"/>
    <mergeCell ref="G75:H75"/>
    <mergeCell ref="G76:H76"/>
    <mergeCell ref="G79:H79"/>
    <mergeCell ref="G80:H80"/>
    <mergeCell ref="C80:D80"/>
    <mergeCell ref="A75:B75"/>
    <mergeCell ref="V86:W86"/>
    <mergeCell ref="X82:Y82"/>
    <mergeCell ref="X83:Y83"/>
    <mergeCell ref="X84:Y84"/>
    <mergeCell ref="X85:Y85"/>
    <mergeCell ref="X86:Y86"/>
    <mergeCell ref="X87:Y87"/>
    <mergeCell ref="X79:Y79"/>
    <mergeCell ref="X81:Y81"/>
    <mergeCell ref="F85:G85"/>
    <mergeCell ref="A85:C85"/>
    <mergeCell ref="F84:G84"/>
    <mergeCell ref="V95:W95"/>
    <mergeCell ref="V96:W96"/>
    <mergeCell ref="G77:H77"/>
    <mergeCell ref="G78:H78"/>
    <mergeCell ref="A76:B76"/>
    <mergeCell ref="X77:Y77"/>
    <mergeCell ref="X78:Y78"/>
    <mergeCell ref="Q94:R94"/>
    <mergeCell ref="A95:C95"/>
    <mergeCell ref="Q95:R95"/>
    <mergeCell ref="A96:C96"/>
    <mergeCell ref="Q96:R96"/>
    <mergeCell ref="V83:W83"/>
    <mergeCell ref="V82:W82"/>
    <mergeCell ref="V81:W81"/>
    <mergeCell ref="V79:W79"/>
    <mergeCell ref="X88:Y88"/>
    <mergeCell ref="X89:Y89"/>
    <mergeCell ref="V89:W89"/>
    <mergeCell ref="V88:W88"/>
    <mergeCell ref="V87:W87"/>
    <mergeCell ref="A98:C98"/>
    <mergeCell ref="Q98:R98"/>
    <mergeCell ref="A99:C99"/>
    <mergeCell ref="Q99:R99"/>
    <mergeCell ref="A100:C100"/>
    <mergeCell ref="Q100:R100"/>
    <mergeCell ref="AK5:AL5"/>
    <mergeCell ref="A39:I39"/>
    <mergeCell ref="A97:C97"/>
    <mergeCell ref="Q97:R97"/>
    <mergeCell ref="V85:W85"/>
    <mergeCell ref="V84:W84"/>
    <mergeCell ref="F91:G91"/>
    <mergeCell ref="A91:C91"/>
    <mergeCell ref="F90:G90"/>
    <mergeCell ref="A90:C90"/>
    <mergeCell ref="F89:G89"/>
    <mergeCell ref="A89:C89"/>
    <mergeCell ref="F88:G88"/>
    <mergeCell ref="A88:C88"/>
    <mergeCell ref="F87:G87"/>
    <mergeCell ref="A87:C87"/>
    <mergeCell ref="F86:G86"/>
    <mergeCell ref="A86:C86"/>
    <mergeCell ref="G127:G128"/>
    <mergeCell ref="A105:A106"/>
    <mergeCell ref="V93:Y93"/>
    <mergeCell ref="V105:W105"/>
    <mergeCell ref="X105:Y105"/>
    <mergeCell ref="V106:W106"/>
    <mergeCell ref="X106:Y106"/>
    <mergeCell ref="B105:C105"/>
    <mergeCell ref="B106:C106"/>
    <mergeCell ref="V102:W102"/>
    <mergeCell ref="V103:W103"/>
    <mergeCell ref="X103:Y103"/>
    <mergeCell ref="V104:W104"/>
    <mergeCell ref="X104:Y104"/>
    <mergeCell ref="X98:Y98"/>
    <mergeCell ref="V99:W99"/>
    <mergeCell ref="V100:W100"/>
    <mergeCell ref="V101:W101"/>
    <mergeCell ref="X101:Y101"/>
    <mergeCell ref="A101:C101"/>
    <mergeCell ref="Q101:R101"/>
    <mergeCell ref="V94:W94"/>
    <mergeCell ref="X97:Y97"/>
    <mergeCell ref="V98:W98"/>
  </mergeCells>
  <dataValidations count="1">
    <dataValidation type="list" showInputMessage="1" showErrorMessage="1" promptTitle="Select answer" sqref="Y99:Y100 Y102" xr:uid="{744FD613-1227-4CEC-897F-39F15FCF15DD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Option Button 7">
              <controlPr defaultSize="0" autoFill="0" autoLine="0" autoPict="0">
                <anchor moveWithCells="1">
                  <from>
                    <xdr:col>6</xdr:col>
                    <xdr:colOff>12700</xdr:colOff>
                    <xdr:row>120</xdr:row>
                    <xdr:rowOff>165100</xdr:rowOff>
                  </from>
                  <to>
                    <xdr:col>6</xdr:col>
                    <xdr:colOff>717550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Option Button 8">
              <controlPr defaultSize="0" autoFill="0" autoLine="0" autoPict="0">
                <anchor moveWithCells="1">
                  <from>
                    <xdr:col>5</xdr:col>
                    <xdr:colOff>0</xdr:colOff>
                    <xdr:row>120</xdr:row>
                    <xdr:rowOff>152400</xdr:rowOff>
                  </from>
                  <to>
                    <xdr:col>5</xdr:col>
                    <xdr:colOff>711200</xdr:colOff>
                    <xdr:row>122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10D9B-6716-4B72-BDD5-FF0C11E62889}">
  <dimension ref="A1:M16"/>
  <sheetViews>
    <sheetView topLeftCell="C1" workbookViewId="0">
      <selection activeCell="K9" sqref="K9"/>
    </sheetView>
  </sheetViews>
  <sheetFormatPr defaultRowHeight="14.5"/>
  <cols>
    <col min="1" max="1" width="12.81640625" customWidth="1"/>
    <col min="2" max="2" width="23.81640625" customWidth="1"/>
    <col min="3" max="3" width="18" customWidth="1"/>
    <col min="4" max="4" width="16.1796875" customWidth="1"/>
    <col min="5" max="5" width="15.453125" customWidth="1"/>
    <col min="6" max="6" width="16.54296875" customWidth="1"/>
    <col min="7" max="7" width="18" customWidth="1"/>
    <col min="8" max="8" width="2.453125" customWidth="1"/>
    <col min="9" max="9" width="10" customWidth="1"/>
    <col min="10" max="10" width="38" customWidth="1"/>
    <col min="11" max="12" width="15.54296875" customWidth="1"/>
    <col min="13" max="13" width="17.1796875" customWidth="1"/>
    <col min="14" max="14" width="23.1796875" customWidth="1"/>
    <col min="15" max="17" width="6.1796875" bestFit="1" customWidth="1"/>
    <col min="18" max="18" width="8.1796875" bestFit="1" customWidth="1"/>
    <col min="19" max="19" width="15.54296875" bestFit="1" customWidth="1"/>
    <col min="20" max="20" width="8.1796875" bestFit="1" customWidth="1"/>
    <col min="21" max="25" width="6.1796875" bestFit="1" customWidth="1"/>
    <col min="26" max="26" width="9.1796875" bestFit="1" customWidth="1"/>
    <col min="27" max="27" width="21" bestFit="1" customWidth="1"/>
    <col min="28" max="29" width="20.54296875" bestFit="1" customWidth="1"/>
  </cols>
  <sheetData>
    <row r="1" spans="1:13">
      <c r="B1" t="s">
        <v>236</v>
      </c>
      <c r="C1" t="str">
        <f>Form!L4</f>
        <v>K-12 school</v>
      </c>
    </row>
    <row r="3" spans="1:13" ht="29">
      <c r="C3" s="229" t="s">
        <v>437</v>
      </c>
      <c r="D3" s="229" t="s">
        <v>438</v>
      </c>
      <c r="E3" s="229" t="s">
        <v>439</v>
      </c>
      <c r="F3" s="230" t="s">
        <v>444</v>
      </c>
      <c r="G3" s="229" t="s">
        <v>445</v>
      </c>
      <c r="L3" t="s">
        <v>448</v>
      </c>
      <c r="M3">
        <f>K4/1000</f>
        <v>140</v>
      </c>
    </row>
    <row r="4" spans="1:13" ht="43.5">
      <c r="A4">
        <v>1</v>
      </c>
      <c r="B4" s="116" t="str" cm="1">
        <f t="array" ref="B4">_xlfn.IFNA(_xlfn.XLOOKUP($C$1,'Pred. EUI'!$B$66:$L$66,_xlfn.XLOOKUP('Pred. EUI Calc.'!A4,'Pred. EUI'!$A$68:$A$75,'Pred. EUI'!$B$68:$L$75)),"")</f>
        <v>Constant</v>
      </c>
      <c r="D4" t="str" cm="1">
        <f t="array" ref="D4">_xlfn.IFNA(_xlfn.XLOOKUP($C$1,'Pred. EUI'!$H$30:$J$30,_xlfn.XLOOKUP('Pred. EUI Calc.'!B4,'Pred. EUI'!$G$31:$G$45,'Pred. EUI'!$H$31:$J$45)),"")</f>
        <v/>
      </c>
      <c r="E4">
        <f>IFERROR(C4-D4,1)</f>
        <v>1</v>
      </c>
      <c r="F4" cm="1">
        <f t="array" ref="F4">_xlfn.IFNA(_xlfn.XLOOKUP($C$1,'Pred. EUI'!$C$2:$E$2,_xlfn.XLOOKUP('Pred. EUI Calc.'!B4,'Pred. EUI'!$B$3:$B$17,'Pred. EUI'!$C$3:$E$17)),"")</f>
        <v>101.7</v>
      </c>
      <c r="G4">
        <f>IF((E4*F4)=0,F4,IF((F4*E4)&lt;0,F4*E4*(-1),F4*E4))</f>
        <v>101.7</v>
      </c>
      <c r="I4">
        <v>1</v>
      </c>
      <c r="J4" t="str">
        <f>_xlfn.XLOOKUP(I4,Form!$J$12:$J$20,Form!$K$12:$K$20)</f>
        <v>Gross Floor Area (Sq.Ft)</v>
      </c>
      <c r="K4">
        <f>_xlfn.XLOOKUP(J4,Form!$K$12:$K$20,Form!$L$12:$L$20)</f>
        <v>140000</v>
      </c>
      <c r="L4" s="116" t="str">
        <f>'Pred. EUI'!G34</f>
        <v>Number of Workers per 1,000 ft2</v>
      </c>
      <c r="M4" cm="1">
        <f t="array" ref="M4">_xlfn.IFS(J9="Workers on the main shift4",K9/M3,J9="Number of workers",K9/M3)</f>
        <v>2.9928571428571429</v>
      </c>
    </row>
    <row r="5" spans="1:13" ht="31.5" customHeight="1">
      <c r="A5">
        <v>2</v>
      </c>
      <c r="B5" s="116" t="str" cm="1">
        <f t="array" ref="B5">_xlfn.IFNA(_xlfn.XLOOKUP($C$1,'Pred. EUI'!$B$66:$L$66,_xlfn.XLOOKUP('Pred. EUI Calc.'!A5,'Pred. EUI'!$A$68:$A$75,'Pred. EUI'!$B$68:$L$75)),"")</f>
        <v>Number of Workers per 1,000 ft2</v>
      </c>
      <c r="C5">
        <f>_xlfn.XLOOKUP(B5,L3:L13,M3:M13)</f>
        <v>2.9928571428571429</v>
      </c>
      <c r="D5" cm="1">
        <f t="array" ref="D5">_xlfn.IFNA(_xlfn.XLOOKUP($C$1,'Pred. EUI'!$H$30:$J$30,_xlfn.XLOOKUP('Pred. EUI Calc.'!B5,'Pred. EUI'!$G$31:$G$45,'Pred. EUI'!$H$31:$J$45)),"")</f>
        <v>0.79669999999999996</v>
      </c>
      <c r="E5">
        <f t="shared" ref="E5:E13" si="0">C5-D5</f>
        <v>2.1961571428571429</v>
      </c>
      <c r="F5" cm="1">
        <f t="array" ref="F5">_xlfn.IFNA(_xlfn.XLOOKUP($C$1,'Pred. EUI'!$C$2:$E$2,_xlfn.XLOOKUP('Pred. EUI Calc.'!B5,'Pred. EUI'!$B$3:$B$17,'Pred. EUI'!$C$3:$E$17)),"")</f>
        <v>25.61</v>
      </c>
      <c r="G5">
        <f t="shared" ref="G5:G9" si="1">F5*E5</f>
        <v>56.243584428571431</v>
      </c>
      <c r="I5">
        <v>2</v>
      </c>
      <c r="J5" t="str">
        <f>_xlfn.XLOOKUP(I5,Form!$J$12:$J$20,Form!$K$12:$K$20)</f>
        <v>Percent of the building Cooled</v>
      </c>
      <c r="K5">
        <f>_xlfn.XLOOKUP(J5,Form!$K$12:$K$20,Form!$L$12:$L$20)</f>
        <v>1</v>
      </c>
      <c r="L5" s="116" t="str">
        <f>'Pred. EUI'!L73</f>
        <v>Percent Cooled x Ln (Cooling Degree Days)</v>
      </c>
      <c r="M5">
        <f>K5*LN(K7)</f>
        <v>7.7968803427835223</v>
      </c>
    </row>
    <row r="6" spans="1:13" ht="30" customHeight="1">
      <c r="A6">
        <v>3</v>
      </c>
      <c r="B6" s="116" t="str" cm="1">
        <f t="array" ref="B6">_xlfn.IFNA(_xlfn.XLOOKUP($C$1,'Pred. EUI'!$B$66:$L$66,_xlfn.XLOOKUP('Pred. EUI Calc.'!A6,'Pred. EUI'!$A$68:$A$75,'Pred. EUI'!$B$68:$L$75)),"")</f>
        <v>Percent Heated x Heating Degree Days</v>
      </c>
      <c r="C6">
        <f>_xlfn.XLOOKUP(B6,L3:L17,M3:M17)</f>
        <v>3147</v>
      </c>
      <c r="D6" cm="1">
        <f t="array" ref="D6">_xlfn.IFNA(_xlfn.XLOOKUP($C$1,'Pred. EUI'!$H$30:$J$30,_xlfn.XLOOKUP('Pred. EUI Calc.'!B6,'Pred. EUI'!$G$31:$G$45,'Pred. EUI'!$H$31:$J$45)),"")</f>
        <v>3597</v>
      </c>
      <c r="E6">
        <f t="shared" si="0"/>
        <v>-450</v>
      </c>
      <c r="F6" cm="1">
        <f t="array" ref="F6">_xlfn.IFNA(_xlfn.XLOOKUP($C$1,'Pred. EUI'!$C$2:$E$2,_xlfn.XLOOKUP('Pred. EUI Calc.'!B6,'Pred. EUI'!$B$3:$B$17,'Pred. EUI'!$C$3:$E$17)),"")</f>
        <v>8.3700000000000007E-3</v>
      </c>
      <c r="G6">
        <f t="shared" si="1"/>
        <v>-3.7665000000000002</v>
      </c>
      <c r="I6">
        <v>3</v>
      </c>
      <c r="J6" t="str">
        <f>_xlfn.XLOOKUP(I6,Form!$J$12:$J$20,Form!$K$12:$K$20)</f>
        <v>Heating Degree Days</v>
      </c>
      <c r="K6">
        <f>_xlfn.XLOOKUP(J6,Form!$K$12:$K$20,Form!$L$12:$L$20)</f>
        <v>3147</v>
      </c>
      <c r="L6" s="116" t="s">
        <v>447</v>
      </c>
      <c r="M6" t="str">
        <f>IF(J11="Number of computers",K11/M3,"")</f>
        <v/>
      </c>
    </row>
    <row r="7" spans="1:13" ht="30" customHeight="1">
      <c r="A7">
        <v>4</v>
      </c>
      <c r="B7" s="116" t="str" cm="1">
        <f t="array" ref="B7">_xlfn.IFNA(_xlfn.XLOOKUP($C$1,'Pred. EUI'!$B$66:$L$66,_xlfn.XLOOKUP('Pred. EUI Calc.'!A7,'Pred. EUI'!$A$68:$A$75,'Pred. EUI'!$B$68:$L$75)),"")</f>
        <v>Percent Cooled x Cooling Degree Days</v>
      </c>
      <c r="C7">
        <f>_xlfn.XLOOKUP(B7,L3:L16,M3:M16)</f>
        <v>2433</v>
      </c>
      <c r="D7" cm="1">
        <f t="array" ref="D7">_xlfn.IFNA(_xlfn.XLOOKUP($C$1,'Pred. EUI'!$H$30:$J$30,_xlfn.XLOOKUP('Pred. EUI Calc.'!B7,'Pred. EUI'!$G$31:$G$45,'Pred. EUI'!$H$31:$J$45)),"")</f>
        <v>1472</v>
      </c>
      <c r="E7">
        <f t="shared" si="0"/>
        <v>961</v>
      </c>
      <c r="F7" cm="1">
        <f t="array" ref="F7">_xlfn.IFNA(_xlfn.XLOOKUP($C$1,'Pred. EUI'!$C$2:$E$2,_xlfn.XLOOKUP('Pred. EUI Calc.'!B7,'Pred. EUI'!$B$3:$B$17,'Pred. EUI'!$C$3:$E$17)),"")</f>
        <v>2.0590000000000001E-2</v>
      </c>
      <c r="G7">
        <f t="shared" si="1"/>
        <v>19.786989999999999</v>
      </c>
      <c r="I7">
        <v>4</v>
      </c>
      <c r="J7" t="str">
        <f>_xlfn.XLOOKUP(I7,Form!$J$12:$J$20,Form!$K$12:$K$20)</f>
        <v>Cooling Degree Days</v>
      </c>
      <c r="K7">
        <f>_xlfn.XLOOKUP(J7,Form!$K$12:$K$20,Form!$L$12:$L$20)</f>
        <v>2433</v>
      </c>
      <c r="L7" t="s">
        <v>432</v>
      </c>
      <c r="M7">
        <f>IF(_xlfn.XLOOKUP(L7,J4:J12,K4:K12)="Yes",1,0)</f>
        <v>1</v>
      </c>
    </row>
    <row r="8" spans="1:13" ht="42" customHeight="1">
      <c r="A8">
        <v>5</v>
      </c>
      <c r="B8" s="116" t="str" cm="1">
        <f t="array" ref="B8">_xlfn.IFNA(_xlfn.XLOOKUP($C$1,'Pred. EUI'!$B$66:$L$66,_xlfn.XLOOKUP('Pred. EUI Calc.'!A8,'Pred. EUI'!$A$68:$A$75,'Pred. EUI'!$B$68:$L$75)),"")</f>
        <v>Cooking</v>
      </c>
      <c r="C8">
        <f>_xlfn.XLOOKUP(B8,L4:L12,M4:M12)</f>
        <v>1</v>
      </c>
      <c r="D8" cm="1">
        <f t="array" ref="D8">_xlfn.IFNA(_xlfn.XLOOKUP($C$1,'Pred. EUI'!$H$30:$J$30,_xlfn.XLOOKUP('Pred. EUI Calc.'!B8,'Pred. EUI'!$G$31:$G$48,'Pred. EUI'!$H$31:$J$48)),"")</f>
        <v>0</v>
      </c>
      <c r="E8">
        <f>IFERROR(C8-D8,0)</f>
        <v>1</v>
      </c>
      <c r="F8" cm="1">
        <f t="array" ref="F8">_xlfn.IFNA(_xlfn.XLOOKUP($C$1,'Pred. EUI'!$C$2:$E$2,_xlfn.XLOOKUP('Pred. EUI Calc.'!B8,'Pred. EUI'!$B$3:$B$17,'Pred. EUI'!$C$3:$E$17)),"")</f>
        <v>8.1820000000000004</v>
      </c>
      <c r="G8">
        <f t="shared" si="1"/>
        <v>8.1820000000000004</v>
      </c>
      <c r="I8">
        <v>5</v>
      </c>
      <c r="J8" t="str">
        <f>_xlfn.XLOOKUP(I8,Form!$J$12:$J$20,Form!$K$12:$K$20)</f>
        <v>High School</v>
      </c>
      <c r="K8" t="str">
        <f>_xlfn.XLOOKUP(J8,Form!$K$12:$K$20,Form!$L$12:$L$20)</f>
        <v>Yes</v>
      </c>
      <c r="L8" s="116" t="s">
        <v>429</v>
      </c>
      <c r="M8">
        <f>K6*K5</f>
        <v>3147</v>
      </c>
    </row>
    <row r="9" spans="1:13" ht="30.75" customHeight="1">
      <c r="A9">
        <v>6</v>
      </c>
      <c r="B9" s="116" t="str" cm="1">
        <f t="array" ref="B9">_xlfn.IFNA(_xlfn.XLOOKUP($C$1,'Pred. EUI'!$B$66:$L$66,_xlfn.XLOOKUP('Pred. EUI Calc.'!A9,'Pred. EUI'!$A$68:$A$75,'Pred. EUI'!$B$68:$L$75)),"")</f>
        <v>Open Weekends</v>
      </c>
      <c r="C9">
        <f>_xlfn.XLOOKUP(B9,L4:L16,M4:M16)</f>
        <v>0</v>
      </c>
      <c r="D9" cm="1">
        <f t="array" ref="D9">_xlfn.IFNA(_xlfn.XLOOKUP($C$1,'Pred. EUI'!$H$30:$J$30,_xlfn.XLOOKUP('Pred. EUI Calc.'!B9,'Pred. EUI'!$G$31:$G$48,'Pred. EUI'!$H$31:$J$48)),"")</f>
        <v>0</v>
      </c>
      <c r="E9">
        <f t="shared" si="0"/>
        <v>0</v>
      </c>
      <c r="F9" cm="1">
        <f t="array" ref="F9">_xlfn.IFNA(_xlfn.XLOOKUP($C$1,'Pred. EUI'!$C$2:$E$2,_xlfn.XLOOKUP('Pred. EUI Calc.'!B9,'Pred. EUI'!$B$3:$B$17,'Pred. EUI'!$C$3:$E$17)),"")</f>
        <v>15.66</v>
      </c>
      <c r="G9">
        <f t="shared" si="1"/>
        <v>0</v>
      </c>
      <c r="I9">
        <v>6</v>
      </c>
      <c r="J9" t="str">
        <f>_xlfn.XLOOKUP(I9,Form!$J$12:$J$20,Form!$K$12:$K$20)</f>
        <v>Number of workers</v>
      </c>
      <c r="K9">
        <f>_xlfn.XLOOKUP(J9,Form!$K$12:$K$20,Form!$L$12:$L$20)</f>
        <v>419</v>
      </c>
      <c r="L9" s="116" t="s">
        <v>449</v>
      </c>
      <c r="M9">
        <f>K7*K5</f>
        <v>2433</v>
      </c>
    </row>
    <row r="10" spans="1:13">
      <c r="A10">
        <v>7</v>
      </c>
      <c r="B10" s="116" t="str" cm="1">
        <f t="array" ref="B10">_xlfn.IFNA(_xlfn.XLOOKUP($C$1,'Pred. EUI'!$B$66:$L$66,_xlfn.XLOOKUP('Pred. EUI Calc.'!A10,'Pred. EUI'!$A$68:$A$75,'Pred. EUI'!$B$68:$L$75)),"")</f>
        <v>High School</v>
      </c>
      <c r="C10">
        <f>_xlfn.XLOOKUP(B10,L3:L17,M3:M17)</f>
        <v>1</v>
      </c>
      <c r="D10" cm="1">
        <f t="array" ref="D10">_xlfn.IFNA(_xlfn.XLOOKUP($C$1,'Pred. EUI'!$H$30:$J$30,_xlfn.XLOOKUP('Pred. EUI Calc.'!B10,'Pred. EUI'!$G$31:$G$48,'Pred. EUI'!$H$31:$J$48)),"")</f>
        <v>0</v>
      </c>
      <c r="E10">
        <f t="shared" si="0"/>
        <v>1</v>
      </c>
      <c r="F10" cm="1">
        <f t="array" ref="F10">_xlfn.IFNA(_xlfn.XLOOKUP($C$1,'Pred. EUI'!$C$2:$E$2,_xlfn.XLOOKUP('Pred. EUI Calc.'!B10,'Pred. EUI'!$B$3:$B$17,'Pred. EUI'!$C$3:$E$17)),"")</f>
        <v>14.08</v>
      </c>
      <c r="G10">
        <f>IFERROR(F10*E10,0)</f>
        <v>14.08</v>
      </c>
      <c r="I10">
        <v>7</v>
      </c>
      <c r="J10" t="str">
        <f>_xlfn.XLOOKUP(I10,Form!$J$12:$J$20,Form!$K$12:$K$20)</f>
        <v>Open weekends</v>
      </c>
      <c r="K10">
        <f>_xlfn.XLOOKUP(J10,Form!$K$12:$K$20,Form!$L$12:$L$20)</f>
        <v>0</v>
      </c>
      <c r="L10" s="116" t="s">
        <v>435</v>
      </c>
      <c r="M10">
        <f>IF(_xlfn.XLOOKUP(L10,J4:J12,K4:K12)="Yes",1,0)</f>
        <v>0</v>
      </c>
    </row>
    <row r="11" spans="1:13" ht="14.25" customHeight="1">
      <c r="A11">
        <v>8</v>
      </c>
      <c r="B11" s="116" cm="1">
        <f t="array" ref="B11">_xlfn.IFNA(_xlfn.XLOOKUP($C$1,'Pred. EUI'!$B$66:$L$66,_xlfn.XLOOKUP('Pred. EUI Calc.'!A11,'Pred. EUI'!$A$68:$A$75,'Pred. EUI'!$B$68:$L$75)),"")</f>
        <v>0</v>
      </c>
      <c r="C11" t="str">
        <f>IFERROR(_xlfn.XLOOKUP(B11,J4:J12,K4:K12),"")</f>
        <v/>
      </c>
      <c r="D11" t="str" cm="1">
        <f t="array" ref="D11">_xlfn.IFNA(_xlfn.XLOOKUP($C$1,'Pred. EUI'!$H$30:$J$30,_xlfn.XLOOKUP('Pred. EUI Calc.'!B11,'Pred. EUI'!$G$31:$G$45,'Pred. EUI'!$H$31:$J$45)),"")</f>
        <v/>
      </c>
      <c r="E11" t="e">
        <f>C11-D11</f>
        <v>#VALUE!</v>
      </c>
      <c r="F11" t="str" cm="1">
        <f t="array" ref="F11">_xlfn.IFNA(_xlfn.XLOOKUP($C$1,'Pred. EUI'!$C$2:$E$2,_xlfn.XLOOKUP('Pred. EUI Calc.'!B11,'Pred. EUI'!$B$3:$B$17,'Pred. EUI'!$C$3:$E$17)),"")</f>
        <v/>
      </c>
      <c r="G11" t="str">
        <f>IFERROR(F11*E11,"")</f>
        <v/>
      </c>
      <c r="I11">
        <v>8</v>
      </c>
      <c r="J11" t="str">
        <f>_xlfn.XLOOKUP(I11,Form!$J$12:$J$20,Form!$K$12:$K$20)</f>
        <v>Presence of cooking</v>
      </c>
      <c r="K11">
        <f>_xlfn.XLOOKUP(J11,Form!$K$12:$K$20,Form!$L$12:$L$20)</f>
        <v>300</v>
      </c>
      <c r="L11" s="116" t="s">
        <v>434</v>
      </c>
      <c r="M11">
        <f>IF(_xlfn.XLOOKUP(L11,J4:J12,K4:K12)="Yes",1,0)</f>
        <v>1</v>
      </c>
    </row>
    <row r="12" spans="1:13" ht="14.25" customHeight="1">
      <c r="A12">
        <v>9</v>
      </c>
      <c r="B12" t="str" cm="1">
        <f t="array" ref="B12">_xlfn.IFNA(_xlfn.XLOOKUP($C$1,'Pred. EUI'!$B$66:$L$66,_xlfn.XLOOKUP('Pred. EUI Calc.'!A12,'Pred. EUI'!$A$68:$A$75,'Pred. EUI'!$B$68:$L$75)),"")</f>
        <v/>
      </c>
      <c r="D12" t="str" cm="1">
        <f t="array" ref="D12">_xlfn.IFNA(_xlfn.XLOOKUP($C$1,'Pred. EUI'!$H$30:$J$30,_xlfn.XLOOKUP('Pred. EUI Calc.'!B12,'Pred. EUI'!$G$31:$G$45,'Pred. EUI'!$H$31:$J$45)),"")</f>
        <v/>
      </c>
      <c r="E12" t="e">
        <f t="shared" si="0"/>
        <v>#VALUE!</v>
      </c>
      <c r="F12" t="str" cm="1">
        <f t="array" ref="F12">_xlfn.IFNA(_xlfn.XLOOKUP($C$1,'Pred. EUI'!$C$2:$E$2,_xlfn.XLOOKUP('Pred. EUI Calc.'!B12,'Pred. EUI'!$B$3:$B$17,'Pred. EUI'!$C$3:$E$17)),"")</f>
        <v/>
      </c>
      <c r="G12">
        <f>IFERROR(F12*E12,0)</f>
        <v>0</v>
      </c>
      <c r="I12">
        <v>9</v>
      </c>
      <c r="J12" t="str">
        <f>_xlfn.XLOOKUP(I12,Form!$J$12:$J$20,Form!$K$12:$K$20)</f>
        <v>Cooking</v>
      </c>
      <c r="K12" t="str">
        <f>_xlfn.XLOOKUP(J12,Form!$K$12:$K$20,Form!$L$12:$L$20)</f>
        <v>Yes</v>
      </c>
      <c r="L12" s="116" t="s">
        <v>450</v>
      </c>
      <c r="M12" t="e">
        <f>_xlfn.XLOOKUP(L12,J4:J12,K4:K12)</f>
        <v>#N/A</v>
      </c>
    </row>
    <row r="13" spans="1:13" ht="75.75" customHeight="1">
      <c r="A13">
        <v>10</v>
      </c>
      <c r="B13" t="str" cm="1">
        <f t="array" ref="B13">_xlfn.IFNA(_xlfn.XLOOKUP($C$1,'Pred. EUI'!$B$66:$L$66,_xlfn.XLOOKUP('Pred. EUI Calc.'!A13,'Pred. EUI'!$A$68:$A$75,'Pred. EUI'!$B$68:$L$75)),"")</f>
        <v/>
      </c>
      <c r="D13" t="str" cm="1">
        <f t="array" ref="D13">_xlfn.IFNA(_xlfn.XLOOKUP($C$1,'Pred. EUI'!$H$30:$J$30,_xlfn.XLOOKUP('Pred. EUI Calc.'!B13,'Pred. EUI'!$G$31:$G$45,'Pred. EUI'!$H$31:$J$45)),"")</f>
        <v/>
      </c>
      <c r="E13" t="e">
        <f t="shared" si="0"/>
        <v>#VALUE!</v>
      </c>
      <c r="F13" t="str" cm="1">
        <f t="array" ref="F13">_xlfn.IFNA(_xlfn.XLOOKUP($C$1,'Pred. EUI'!$C$2:$E$2,_xlfn.XLOOKUP('Pred. EUI Calc.'!B13,'Pred. EUI'!$B$3:$B$17,'Pred. EUI'!$C$3:$E$17)),"")</f>
        <v/>
      </c>
      <c r="G13">
        <f>IFERROR(F13*E13,0)</f>
        <v>0</v>
      </c>
      <c r="K13" t="e">
        <f>_xlfn.XLOOKUP(J13,Form!$K$12:$K$20,Form!$L$12:$L$20)</f>
        <v>#N/A</v>
      </c>
      <c r="L13" s="116" t="s">
        <v>442</v>
      </c>
      <c r="M13" t="e">
        <f>(K5+IF(J10="Percent of the building used for cold storage",K10,"")*K7)</f>
        <v>#VALUE!</v>
      </c>
    </row>
    <row r="14" spans="1:13" ht="43.5">
      <c r="L14" s="116" t="s">
        <v>451</v>
      </c>
      <c r="M14" t="e">
        <f>_xlfn.XLOOKUP(L14,J4:J12,K4:K12)</f>
        <v>#N/A</v>
      </c>
    </row>
    <row r="15" spans="1:13" ht="43.5">
      <c r="G15" s="232">
        <f>SUM(G4:G13)</f>
        <v>196.22607442857142</v>
      </c>
      <c r="L15" s="116" t="s">
        <v>453</v>
      </c>
      <c r="M15">
        <f>IF(K4&gt;=100000,100000,K4)</f>
        <v>100000</v>
      </c>
    </row>
    <row r="16" spans="1:13">
      <c r="L16" s="116" t="s">
        <v>436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8F82E-22F7-4B35-91C1-AE3E4E0D6C5C}">
  <sheetPr codeName="Sheet8"/>
  <dimension ref="A1:P90"/>
  <sheetViews>
    <sheetView topLeftCell="A74" workbookViewId="0">
      <selection activeCell="E59" sqref="E59"/>
    </sheetView>
  </sheetViews>
  <sheetFormatPr defaultRowHeight="14.5"/>
  <cols>
    <col min="2" max="2" width="34.1796875" customWidth="1"/>
    <col min="3" max="3" width="16" customWidth="1"/>
    <col min="4" max="4" width="10.81640625" customWidth="1"/>
    <col min="5" max="5" width="10.1796875" customWidth="1"/>
    <col min="7" max="7" width="30.1796875" customWidth="1"/>
    <col min="8" max="8" width="17.453125" customWidth="1"/>
    <col min="12" max="12" width="36.54296875" customWidth="1"/>
    <col min="13" max="13" width="19.81640625" customWidth="1"/>
    <col min="14" max="14" width="14.81640625" customWidth="1"/>
  </cols>
  <sheetData>
    <row r="1" spans="2:6">
      <c r="B1" s="443" t="s">
        <v>426</v>
      </c>
      <c r="C1" s="443"/>
      <c r="D1" s="443"/>
      <c r="E1" s="443"/>
      <c r="F1" s="443"/>
    </row>
    <row r="2" spans="2:6" ht="25.5" customHeight="1">
      <c r="B2" s="117" t="s">
        <v>430</v>
      </c>
      <c r="C2" s="117" t="str">
        <f>B57</f>
        <v>K-12 school</v>
      </c>
      <c r="D2" s="226" t="str">
        <f>G57</f>
        <v>Warehouse (covers distribution center, non-refrigerated warehouse, and refrigerated warehouse)</v>
      </c>
      <c r="E2" s="226" t="str">
        <f>L57</f>
        <v>Office (covers office, bank branch, financial office, and courthouse)</v>
      </c>
    </row>
    <row r="3" spans="2:6">
      <c r="B3" s="115" t="s">
        <v>137</v>
      </c>
      <c r="C3">
        <f t="shared" ref="C3:C17" si="0">_xlfn.IFNA(_xlfn.XLOOKUP(B3,$B$68:$B$74,$C$68:$C$74),"")</f>
        <v>101.7</v>
      </c>
      <c r="D3">
        <f t="shared" ref="D3:D17" si="1">_xlfn.IFNA(_xlfn.XLOOKUP(B3,$G$68:$G$73,$H$68:$H$73),"")</f>
        <v>69.62</v>
      </c>
      <c r="E3">
        <f t="shared" ref="E3:E17" si="2">_xlfn.IFNA(_xlfn.XLOOKUP(B3,$L$68:$L$75,$M$68:$M$75),"")</f>
        <v>143.1</v>
      </c>
    </row>
    <row r="4" spans="2:6">
      <c r="B4" s="231" t="s">
        <v>119</v>
      </c>
      <c r="C4">
        <f t="shared" si="0"/>
        <v>25.61</v>
      </c>
      <c r="D4">
        <f t="shared" si="1"/>
        <v>25.83</v>
      </c>
      <c r="E4">
        <f t="shared" si="2"/>
        <v>15.9</v>
      </c>
    </row>
    <row r="5" spans="2:6">
      <c r="B5" s="231" t="s">
        <v>440</v>
      </c>
      <c r="C5" t="str">
        <f t="shared" si="0"/>
        <v/>
      </c>
      <c r="D5">
        <f t="shared" si="1"/>
        <v>0.1943</v>
      </c>
      <c r="E5">
        <f t="shared" si="2"/>
        <v>0.61299999999999999</v>
      </c>
    </row>
    <row r="6" spans="2:6">
      <c r="B6" s="231" t="s">
        <v>429</v>
      </c>
      <c r="C6">
        <f t="shared" si="0"/>
        <v>8.3700000000000007E-3</v>
      </c>
      <c r="D6">
        <f t="shared" si="1"/>
        <v>9.3699999999999999E-3</v>
      </c>
      <c r="E6" t="str">
        <f t="shared" si="2"/>
        <v/>
      </c>
    </row>
    <row r="7" spans="2:6">
      <c r="B7" s="231" t="s">
        <v>428</v>
      </c>
      <c r="C7">
        <f t="shared" si="0"/>
        <v>2.0590000000000001E-2</v>
      </c>
      <c r="D7" t="str">
        <f t="shared" si="1"/>
        <v/>
      </c>
      <c r="E7" t="str">
        <f t="shared" si="2"/>
        <v/>
      </c>
    </row>
    <row r="8" spans="2:6">
      <c r="B8" s="231" t="s">
        <v>441</v>
      </c>
      <c r="C8" t="str">
        <f t="shared" si="0"/>
        <v/>
      </c>
      <c r="D8" t="str">
        <f t="shared" si="1"/>
        <v/>
      </c>
      <c r="E8" t="str">
        <f t="shared" si="2"/>
        <v/>
      </c>
    </row>
    <row r="9" spans="2:6" ht="28">
      <c r="B9" s="231" t="s">
        <v>442</v>
      </c>
      <c r="C9" t="str">
        <f t="shared" si="0"/>
        <v/>
      </c>
      <c r="D9">
        <f t="shared" si="1"/>
        <v>1.209E-2</v>
      </c>
      <c r="E9" t="str">
        <f t="shared" si="2"/>
        <v/>
      </c>
    </row>
    <row r="10" spans="2:6">
      <c r="B10" s="231" t="s">
        <v>443</v>
      </c>
      <c r="C10" t="str">
        <f t="shared" si="0"/>
        <v/>
      </c>
      <c r="D10" t="str">
        <f t="shared" si="1"/>
        <v/>
      </c>
      <c r="E10">
        <f t="shared" si="2"/>
        <v>4.5289999999999999</v>
      </c>
    </row>
    <row r="11" spans="2:6">
      <c r="B11" s="231" t="s">
        <v>405</v>
      </c>
      <c r="C11" t="str">
        <f t="shared" si="0"/>
        <v/>
      </c>
      <c r="D11" t="str">
        <f t="shared" si="1"/>
        <v/>
      </c>
      <c r="E11">
        <f t="shared" si="2"/>
        <v>6.7679999999999997E-4</v>
      </c>
    </row>
    <row r="12" spans="2:6">
      <c r="B12" s="114" t="s">
        <v>142</v>
      </c>
      <c r="C12">
        <f t="shared" si="0"/>
        <v>8.1820000000000004</v>
      </c>
      <c r="D12" t="str">
        <f t="shared" si="1"/>
        <v/>
      </c>
      <c r="E12" t="str">
        <f t="shared" si="2"/>
        <v/>
      </c>
    </row>
    <row r="13" spans="2:6">
      <c r="B13" s="44" t="s">
        <v>143</v>
      </c>
      <c r="C13">
        <f t="shared" si="0"/>
        <v>15.66</v>
      </c>
      <c r="D13" t="str">
        <f t="shared" si="1"/>
        <v/>
      </c>
      <c r="E13" t="str">
        <f t="shared" si="2"/>
        <v/>
      </c>
    </row>
    <row r="14" spans="2:6">
      <c r="B14" s="44" t="s">
        <v>144</v>
      </c>
      <c r="C14">
        <f t="shared" si="0"/>
        <v>14.08</v>
      </c>
      <c r="D14" t="str">
        <f t="shared" si="1"/>
        <v/>
      </c>
      <c r="E14" t="str">
        <f t="shared" si="2"/>
        <v/>
      </c>
    </row>
    <row r="15" spans="2:6">
      <c r="B15" s="231" t="s">
        <v>406</v>
      </c>
      <c r="C15" t="str">
        <f t="shared" si="0"/>
        <v/>
      </c>
      <c r="D15" t="str">
        <f t="shared" si="1"/>
        <v/>
      </c>
      <c r="E15">
        <f t="shared" si="2"/>
        <v>10.130000000000001</v>
      </c>
    </row>
    <row r="16" spans="2:6">
      <c r="B16" s="44" t="s">
        <v>408</v>
      </c>
      <c r="C16" t="str">
        <f t="shared" si="0"/>
        <v/>
      </c>
      <c r="D16" t="str">
        <f t="shared" si="1"/>
        <v/>
      </c>
      <c r="E16">
        <f t="shared" si="2"/>
        <v>82.87</v>
      </c>
    </row>
    <row r="17" spans="1:10">
      <c r="B17" s="44" t="s">
        <v>409</v>
      </c>
      <c r="C17" t="str">
        <f t="shared" si="0"/>
        <v/>
      </c>
      <c r="D17" t="str">
        <f t="shared" si="1"/>
        <v/>
      </c>
      <c r="E17">
        <f t="shared" si="2"/>
        <v>4.6930000000000001E-3</v>
      </c>
    </row>
    <row r="29" spans="1:10">
      <c r="B29" s="443" t="s">
        <v>427</v>
      </c>
      <c r="C29" s="443"/>
      <c r="D29" s="443"/>
      <c r="E29" s="443"/>
      <c r="F29" s="443"/>
    </row>
    <row r="30" spans="1:10" ht="55.5" customHeight="1">
      <c r="C30" s="117" t="str">
        <f>B57</f>
        <v>K-12 school</v>
      </c>
      <c r="D30" s="226" t="str">
        <f>G57</f>
        <v>Warehouse (covers distribution center, non-refrigerated warehouse, and refrigerated warehouse)</v>
      </c>
      <c r="E30" s="226" t="str">
        <f>L57</f>
        <v>Office (covers office, bank branch, financial office, and courthouse)</v>
      </c>
      <c r="G30" s="43" t="s">
        <v>114</v>
      </c>
      <c r="H30" t="str">
        <f>C30</f>
        <v>K-12 school</v>
      </c>
      <c r="I30" s="116" t="str">
        <f>D30</f>
        <v>Warehouse (covers distribution center, non-refrigerated warehouse, and refrigerated warehouse)</v>
      </c>
      <c r="J30" s="116" t="str">
        <f>E30</f>
        <v>Office (covers office, bank branch, financial office, and courthouse)</v>
      </c>
    </row>
    <row r="31" spans="1:10" ht="14.25" customHeight="1">
      <c r="A31" s="116" t="str" cm="1">
        <f t="array" ref="A31:A37">_xlfn.UNIQUE(B59:B65)</f>
        <v>Source EUI (kBtu/ft2)</v>
      </c>
      <c r="B31" s="116" t="str" cm="1">
        <f t="array" ref="B31:B44">_xlfn.UNIQUE(A31:A51)</f>
        <v>Source EUI (kBtu/ft2)</v>
      </c>
      <c r="C31" s="225">
        <f>_xlfn.IFNA(_xlfn.XLOOKUP(B31,$B$59:$B$65,$C$59:$C$65),"")</f>
        <v>114.7</v>
      </c>
      <c r="D31" s="116">
        <f>_xlfn.IFNA(_xlfn.XLOOKUP(B31,$G$59:$G$64,$H$59:$H$64),"")</f>
        <v>69.62</v>
      </c>
      <c r="E31" s="116">
        <f>_xlfn.IFNA(_xlfn.XLOOKUP(B31,$L$59:$L$64,$M$59:$M$64),"")</f>
        <v>153.69999999999999</v>
      </c>
      <c r="G31" s="45" t="s">
        <v>118</v>
      </c>
      <c r="H31">
        <f>_xlfn.IFNA(_xlfn.XLOOKUP(G31,$B$59:$B$65,$C$59:$C$65),"")</f>
        <v>114.7</v>
      </c>
      <c r="I31">
        <f>_xlfn.IFNA(_xlfn.XLOOKUP(G31,$G$59:$G$64,$H$59:$H$64),"")</f>
        <v>69.62</v>
      </c>
      <c r="J31">
        <f>_xlfn.IFNA(_xlfn.XLOOKUP(G31,$L$59:$L$64,$M$59:$M$64),"")</f>
        <v>153.69999999999999</v>
      </c>
    </row>
    <row r="32" spans="1:10" ht="14.25" customHeight="1">
      <c r="A32" s="116" t="str">
        <v>Number of Workers per 1,000 ft2</v>
      </c>
      <c r="B32" s="116" t="str">
        <v>Number of Workers per 1,000 ft2</v>
      </c>
      <c r="C32" s="225"/>
      <c r="D32" s="116"/>
      <c r="E32" s="116"/>
      <c r="G32" s="45" t="s">
        <v>433</v>
      </c>
      <c r="H32" t="str">
        <f>_xlfn.IFNA(_xlfn.XLOOKUP(G32,$B$59:$B$65,$C$59:$C$65),"")</f>
        <v/>
      </c>
      <c r="I32" t="str">
        <f t="shared" ref="I32:I33" si="3">_xlfn.IFNA(_xlfn.XLOOKUP(G32,$G$59:$G$64,$H$59:$H$64),"")</f>
        <v/>
      </c>
      <c r="J32">
        <f>_xlfn.IFNA(_xlfn.XLOOKUP(G32,$L$59:$L$65,$M$59:$M$65),"")</f>
        <v>924</v>
      </c>
    </row>
    <row r="33" spans="1:10" ht="14.25" customHeight="1">
      <c r="A33" s="116" t="str">
        <v>Percent Heated x Heating Degree Days</v>
      </c>
      <c r="B33" s="116" t="str">
        <v>Percent Heated x Heating Degree Days</v>
      </c>
      <c r="C33" s="225"/>
      <c r="D33" s="116"/>
      <c r="E33" s="116"/>
      <c r="G33" s="45" t="s">
        <v>431</v>
      </c>
      <c r="H33" t="str">
        <f>_xlfn.IFNA(_xlfn.XLOOKUP(G33,$B$59:$B$65,$C$59:$C$65),"")</f>
        <v/>
      </c>
      <c r="I33" t="str">
        <f t="shared" si="3"/>
        <v/>
      </c>
      <c r="J33">
        <v>1</v>
      </c>
    </row>
    <row r="34" spans="1:10" ht="13.5" customHeight="1">
      <c r="A34" s="116" t="str">
        <v>Percent Cooled x Cooling Degree Days</v>
      </c>
      <c r="B34" s="116" t="str">
        <v>Percent Cooled x Cooling Degree Days</v>
      </c>
      <c r="C34" s="225">
        <f t="shared" ref="C34:C46" si="4">_xlfn.IFNA(_xlfn.XLOOKUP(B34,$B$59:$B$65,$C$59:$C$65),"")</f>
        <v>1472</v>
      </c>
      <c r="D34" s="116" t="str">
        <f t="shared" ref="D34:D51" si="5">_xlfn.IFNA(_xlfn.XLOOKUP(B34,$G$59:$G$64,$H$59:$H$64),"")</f>
        <v/>
      </c>
      <c r="E34" s="116" t="str">
        <f t="shared" ref="E34:E51" si="6">_xlfn.IFNA(_xlfn.XLOOKUP(B34,$L$59:$L$64,$M$59:$M$64),"")</f>
        <v/>
      </c>
      <c r="G34" s="45" t="s">
        <v>119</v>
      </c>
      <c r="H34">
        <f t="shared" ref="H34:H45" si="7">_xlfn.IFNA(_xlfn.XLOOKUP(G34,$B$59:$B$65,$C$59:$C$65),"")</f>
        <v>0.79669999999999996</v>
      </c>
      <c r="I34">
        <f t="shared" ref="I34:I45" si="8">_xlfn.IFNA(_xlfn.XLOOKUP(G34,$G$59:$G$64,$H$59:$H$64),"")</f>
        <v>0.85019999999999996</v>
      </c>
      <c r="J34">
        <f t="shared" ref="J34:J45" si="9">_xlfn.IFNA(_xlfn.XLOOKUP(G34,$L$59:$L$64,$M$59:$M$64),"")</f>
        <v>2.056</v>
      </c>
    </row>
    <row r="35" spans="1:10" ht="14.25" customHeight="1">
      <c r="A35" s="116" t="str">
        <v>Cooking (yes/no)</v>
      </c>
      <c r="B35" s="116" t="str">
        <v>Cooking (yes/no)</v>
      </c>
      <c r="C35" s="225">
        <f t="shared" si="4"/>
        <v>0.63900000000000001</v>
      </c>
      <c r="D35" s="116" t="str">
        <f t="shared" si="5"/>
        <v/>
      </c>
      <c r="E35" s="116" t="str">
        <f t="shared" si="6"/>
        <v/>
      </c>
      <c r="G35" s="44" t="s">
        <v>120</v>
      </c>
      <c r="H35">
        <f t="shared" si="7"/>
        <v>3597</v>
      </c>
      <c r="I35">
        <f t="shared" si="8"/>
        <v>1602</v>
      </c>
      <c r="J35" t="str">
        <f t="shared" si="9"/>
        <v/>
      </c>
    </row>
    <row r="36" spans="1:10" ht="14.25" customHeight="1">
      <c r="A36" s="116" t="str">
        <v>Open Weekends (yes/no)</v>
      </c>
      <c r="B36" s="116" t="str">
        <v>Open Weekends (yes/no)</v>
      </c>
      <c r="C36" s="225">
        <f t="shared" si="4"/>
        <v>0.26190000000000002</v>
      </c>
      <c r="D36" s="116" t="str">
        <f t="shared" si="5"/>
        <v/>
      </c>
      <c r="E36" s="116" t="str">
        <f t="shared" si="6"/>
        <v/>
      </c>
      <c r="G36" s="44" t="s">
        <v>121</v>
      </c>
      <c r="H36">
        <f t="shared" si="7"/>
        <v>1472</v>
      </c>
      <c r="I36" t="str">
        <f t="shared" si="8"/>
        <v/>
      </c>
      <c r="J36" t="str">
        <f t="shared" si="9"/>
        <v/>
      </c>
    </row>
    <row r="37" spans="1:10" ht="14.25" customHeight="1">
      <c r="A37" s="116" t="str">
        <v>High School (yes/no)</v>
      </c>
      <c r="B37" s="116" t="str">
        <v>High School (yes/no)</v>
      </c>
      <c r="C37" s="225">
        <f t="shared" si="4"/>
        <v>0.25769999999999998</v>
      </c>
      <c r="D37" s="116" t="str">
        <f t="shared" si="5"/>
        <v/>
      </c>
      <c r="E37" s="116" t="str">
        <f t="shared" si="6"/>
        <v/>
      </c>
      <c r="G37" s="44" t="s">
        <v>122</v>
      </c>
      <c r="H37">
        <f t="shared" si="7"/>
        <v>0.63900000000000001</v>
      </c>
      <c r="I37" t="str">
        <f t="shared" si="8"/>
        <v/>
      </c>
      <c r="J37" t="str">
        <f t="shared" si="9"/>
        <v/>
      </c>
    </row>
    <row r="38" spans="1:10" ht="14.25" customHeight="1">
      <c r="A38" s="116"/>
      <c r="B38" s="116">
        <v>0</v>
      </c>
      <c r="C38" s="225" t="str">
        <f t="shared" si="4"/>
        <v/>
      </c>
      <c r="D38" s="116" t="str">
        <f t="shared" si="5"/>
        <v/>
      </c>
      <c r="E38" s="116" t="str">
        <f t="shared" si="6"/>
        <v/>
      </c>
      <c r="G38" s="44" t="s">
        <v>123</v>
      </c>
      <c r="H38">
        <f t="shared" si="7"/>
        <v>0.26190000000000002</v>
      </c>
      <c r="I38" t="str">
        <f t="shared" si="8"/>
        <v/>
      </c>
      <c r="J38" t="str">
        <f t="shared" si="9"/>
        <v/>
      </c>
    </row>
    <row r="39" spans="1:10" ht="14.25" customHeight="1">
      <c r="A39" s="116"/>
      <c r="B39" s="116" t="str">
        <v>Weekly Operating Hours</v>
      </c>
      <c r="C39" s="225" t="str">
        <f t="shared" si="4"/>
        <v/>
      </c>
      <c r="D39" s="116">
        <f t="shared" si="5"/>
        <v>59.25</v>
      </c>
      <c r="E39" s="116">
        <f t="shared" si="6"/>
        <v>54.09</v>
      </c>
      <c r="G39" s="44" t="s">
        <v>124</v>
      </c>
      <c r="H39">
        <f t="shared" si="7"/>
        <v>0.25769999999999998</v>
      </c>
      <c r="I39" t="str">
        <f t="shared" si="8"/>
        <v/>
      </c>
      <c r="J39" t="str">
        <f t="shared" si="9"/>
        <v/>
      </c>
    </row>
    <row r="40" spans="1:10" ht="14.25" customHeight="1">
      <c r="A40" s="116" t="str">
        <f t="shared" ref="A40:A45" si="10">G59</f>
        <v>Source EUI (kBtu/ft2)</v>
      </c>
      <c r="B40" s="116" t="str">
        <v>Percent of the building used for Cold Storage</v>
      </c>
      <c r="C40" s="225" t="str">
        <f t="shared" si="4"/>
        <v/>
      </c>
      <c r="D40" s="116">
        <f t="shared" si="5"/>
        <v>7.6689999999999996E-3</v>
      </c>
      <c r="E40" s="116" t="str">
        <f t="shared" si="6"/>
        <v/>
      </c>
      <c r="G40" s="44" t="s">
        <v>403</v>
      </c>
      <c r="H40" t="str">
        <f t="shared" si="7"/>
        <v/>
      </c>
      <c r="I40">
        <f t="shared" si="8"/>
        <v>59.25</v>
      </c>
      <c r="J40">
        <f t="shared" si="9"/>
        <v>54.09</v>
      </c>
    </row>
    <row r="41" spans="1:10" ht="14.25" customHeight="1">
      <c r="A41" s="116" t="str">
        <f t="shared" si="10"/>
        <v>Weekly Operating Hours</v>
      </c>
      <c r="B41" s="116" t="str">
        <v>(Percent Cooled + Percent Cold Storage) x Cooling Degree Days</v>
      </c>
      <c r="C41" s="225" t="str">
        <f t="shared" si="4"/>
        <v/>
      </c>
      <c r="D41" s="116">
        <f t="shared" si="5"/>
        <v>552.1</v>
      </c>
      <c r="E41" s="116" t="str">
        <f t="shared" si="6"/>
        <v/>
      </c>
      <c r="G41" s="231" t="s">
        <v>452</v>
      </c>
      <c r="H41" t="str">
        <f t="shared" si="7"/>
        <v/>
      </c>
      <c r="I41">
        <f t="shared" si="8"/>
        <v>7.6689999999999996E-3</v>
      </c>
      <c r="J41" t="str">
        <f t="shared" si="9"/>
        <v/>
      </c>
    </row>
    <row r="42" spans="1:10" ht="14.25" customHeight="1">
      <c r="A42" s="116" t="str">
        <f t="shared" si="10"/>
        <v>Number of Workers per 1,000 ft2</v>
      </c>
      <c r="B42" s="116" t="str">
        <v>Square Footage (max value of 100,000)</v>
      </c>
      <c r="C42" s="225" t="str">
        <f t="shared" si="4"/>
        <v/>
      </c>
      <c r="D42" s="116" t="str">
        <f t="shared" si="5"/>
        <v/>
      </c>
      <c r="E42" s="116">
        <f t="shared" si="6"/>
        <v>12342</v>
      </c>
      <c r="G42" s="44" t="s">
        <v>404</v>
      </c>
      <c r="H42" t="str">
        <f t="shared" si="7"/>
        <v/>
      </c>
      <c r="I42">
        <f t="shared" si="8"/>
        <v>552.1</v>
      </c>
      <c r="J42" t="str">
        <f t="shared" si="9"/>
        <v/>
      </c>
    </row>
    <row r="43" spans="1:10" ht="14.25" customHeight="1">
      <c r="A43" s="116" t="str">
        <f t="shared" si="10"/>
        <v>Percent of the building used for Cold Storage</v>
      </c>
      <c r="B43" s="116" t="str">
        <v>Number of Computers per 1,000 ft2</v>
      </c>
      <c r="C43" s="225" t="str">
        <f t="shared" si="4"/>
        <v/>
      </c>
      <c r="D43" s="116" t="str">
        <f t="shared" si="5"/>
        <v/>
      </c>
      <c r="E43" s="116">
        <f t="shared" si="6"/>
        <v>3.028</v>
      </c>
      <c r="G43" s="45" t="s">
        <v>405</v>
      </c>
      <c r="H43" t="str">
        <f t="shared" si="7"/>
        <v/>
      </c>
      <c r="I43" t="str">
        <f t="shared" si="8"/>
        <v/>
      </c>
      <c r="J43">
        <f t="shared" si="9"/>
        <v>12342</v>
      </c>
    </row>
    <row r="44" spans="1:10" ht="14.25" customHeight="1">
      <c r="A44" s="116" t="str">
        <f t="shared" si="10"/>
        <v>Percent Heated x Heating Degree Days</v>
      </c>
      <c r="B44" s="116" t="str">
        <v>Percent Cooled x Ln (Cooling Degree Days)</v>
      </c>
      <c r="C44" s="225" t="str">
        <f t="shared" si="4"/>
        <v/>
      </c>
      <c r="D44" s="116" t="str">
        <f t="shared" si="5"/>
        <v/>
      </c>
      <c r="E44" s="116">
        <f t="shared" si="6"/>
        <v>6.3319999999999999</v>
      </c>
      <c r="G44" s="45" t="s">
        <v>406</v>
      </c>
      <c r="H44" t="str">
        <f t="shared" si="7"/>
        <v/>
      </c>
      <c r="I44" t="str">
        <f t="shared" si="8"/>
        <v/>
      </c>
      <c r="J44">
        <f t="shared" si="9"/>
        <v>3.028</v>
      </c>
    </row>
    <row r="45" spans="1:10" ht="14.25" customHeight="1">
      <c r="A45" s="116" t="str">
        <f t="shared" si="10"/>
        <v>(Percent Cooled + Percent Cold Storage) x Cooling Degree Days</v>
      </c>
      <c r="B45" s="116"/>
      <c r="C45" s="225" t="str">
        <f t="shared" si="4"/>
        <v/>
      </c>
      <c r="D45" s="116" t="str">
        <f t="shared" si="5"/>
        <v/>
      </c>
      <c r="E45" s="116" t="str">
        <f t="shared" si="6"/>
        <v/>
      </c>
      <c r="G45" s="44" t="s">
        <v>407</v>
      </c>
      <c r="H45" t="str">
        <f t="shared" si="7"/>
        <v/>
      </c>
      <c r="I45" t="str">
        <f t="shared" si="8"/>
        <v/>
      </c>
      <c r="J45">
        <f t="shared" si="9"/>
        <v>6.3319999999999999</v>
      </c>
    </row>
    <row r="46" spans="1:10" ht="14.25" customHeight="1">
      <c r="A46" s="116" t="str">
        <f t="shared" ref="A46:A51" si="11">L59</f>
        <v>Source EUI (kBtu/ft2)</v>
      </c>
      <c r="B46" s="116"/>
      <c r="C46" s="225" t="str">
        <f t="shared" si="4"/>
        <v/>
      </c>
      <c r="D46" s="116" t="str">
        <f t="shared" si="5"/>
        <v/>
      </c>
      <c r="E46" s="116" t="str">
        <f t="shared" si="6"/>
        <v/>
      </c>
      <c r="G46" t="s">
        <v>432</v>
      </c>
      <c r="H46">
        <v>0</v>
      </c>
    </row>
    <row r="47" spans="1:10" ht="14.25" customHeight="1">
      <c r="A47" s="116" t="str">
        <f t="shared" si="11"/>
        <v>Square Footage (max value of 100,000)</v>
      </c>
      <c r="D47" s="116" t="str">
        <f t="shared" si="5"/>
        <v/>
      </c>
      <c r="E47" s="116" t="str">
        <f t="shared" si="6"/>
        <v/>
      </c>
      <c r="G47" t="s">
        <v>435</v>
      </c>
      <c r="H47">
        <v>0</v>
      </c>
    </row>
    <row r="48" spans="1:10" ht="14.25" customHeight="1">
      <c r="A48" s="116" t="str">
        <f t="shared" si="11"/>
        <v>Weekly Operating Hours</v>
      </c>
      <c r="D48" s="116" t="str">
        <f t="shared" si="5"/>
        <v/>
      </c>
      <c r="E48" s="116" t="str">
        <f t="shared" si="6"/>
        <v/>
      </c>
      <c r="G48" t="s">
        <v>434</v>
      </c>
      <c r="H48">
        <v>0</v>
      </c>
    </row>
    <row r="49" spans="1:16" ht="14.25" customHeight="1">
      <c r="A49" s="116" t="str">
        <f t="shared" si="11"/>
        <v>Number of Workers per 1,000 ft2</v>
      </c>
      <c r="D49" s="116" t="str">
        <f t="shared" si="5"/>
        <v/>
      </c>
      <c r="E49" s="116" t="str">
        <f t="shared" si="6"/>
        <v/>
      </c>
    </row>
    <row r="50" spans="1:16" ht="14.25" customHeight="1">
      <c r="A50" s="116" t="str">
        <f t="shared" si="11"/>
        <v>Number of Computers per 1,000 ft2</v>
      </c>
      <c r="D50" s="116" t="str">
        <f t="shared" si="5"/>
        <v/>
      </c>
      <c r="E50" s="116" t="str">
        <f t="shared" si="6"/>
        <v/>
      </c>
    </row>
    <row r="51" spans="1:16" ht="14.25" customHeight="1">
      <c r="A51" s="116" t="str">
        <f t="shared" si="11"/>
        <v>Percent Cooled x Ln (Cooling Degree Days)</v>
      </c>
      <c r="D51" s="116" t="str">
        <f t="shared" si="5"/>
        <v/>
      </c>
      <c r="E51" s="116" t="str">
        <f t="shared" si="6"/>
        <v/>
      </c>
    </row>
    <row r="57" spans="1:16">
      <c r="B57" s="444" t="s">
        <v>220</v>
      </c>
      <c r="C57" s="444"/>
      <c r="D57" s="444"/>
      <c r="E57" s="444"/>
      <c r="G57" s="444" t="s">
        <v>232</v>
      </c>
      <c r="H57" s="444"/>
      <c r="I57" s="444"/>
      <c r="J57" s="444"/>
      <c r="L57" s="444" t="s">
        <v>223</v>
      </c>
      <c r="M57" s="444"/>
      <c r="N57" s="444"/>
      <c r="O57" s="444"/>
      <c r="P57" s="444"/>
    </row>
    <row r="58" spans="1:16" ht="15.75" customHeight="1">
      <c r="B58" s="43" t="s">
        <v>114</v>
      </c>
      <c r="C58" s="43" t="s">
        <v>115</v>
      </c>
      <c r="D58" s="43" t="s">
        <v>116</v>
      </c>
      <c r="E58" s="43" t="s">
        <v>117</v>
      </c>
      <c r="G58" s="43" t="s">
        <v>114</v>
      </c>
      <c r="H58" s="43" t="s">
        <v>115</v>
      </c>
      <c r="I58" s="43" t="s">
        <v>116</v>
      </c>
      <c r="J58" s="43" t="s">
        <v>117</v>
      </c>
      <c r="L58" s="192" t="s">
        <v>114</v>
      </c>
      <c r="M58" s="192" t="s">
        <v>115</v>
      </c>
      <c r="N58" s="192" t="s">
        <v>116</v>
      </c>
      <c r="O58" s="192" t="s">
        <v>117</v>
      </c>
    </row>
    <row r="59" spans="1:16" ht="16.5" customHeight="1">
      <c r="B59" s="45" t="s">
        <v>118</v>
      </c>
      <c r="C59" s="49">
        <v>114.7</v>
      </c>
      <c r="D59" s="52">
        <v>25.71</v>
      </c>
      <c r="E59" s="49">
        <v>241.8</v>
      </c>
      <c r="G59" s="231" t="s">
        <v>118</v>
      </c>
      <c r="H59" s="52">
        <v>69.62</v>
      </c>
      <c r="I59" s="53">
        <v>1.333</v>
      </c>
      <c r="J59" s="49">
        <v>473.2</v>
      </c>
      <c r="L59" s="45" t="s">
        <v>118</v>
      </c>
      <c r="M59" s="49">
        <v>153.69999999999999</v>
      </c>
      <c r="N59" s="53">
        <v>4.7430000000000003</v>
      </c>
      <c r="O59" s="48">
        <v>1245</v>
      </c>
    </row>
    <row r="60" spans="1:16" ht="16.5" customHeight="1">
      <c r="B60" s="45" t="s">
        <v>119</v>
      </c>
      <c r="C60" s="47">
        <v>0.79669999999999996</v>
      </c>
      <c r="D60" s="47">
        <v>0.11940000000000001</v>
      </c>
      <c r="E60" s="53">
        <v>1.885</v>
      </c>
      <c r="G60" s="44" t="s">
        <v>403</v>
      </c>
      <c r="H60" s="52">
        <v>59.25</v>
      </c>
      <c r="I60" s="51">
        <v>30</v>
      </c>
      <c r="J60" s="51">
        <v>168</v>
      </c>
      <c r="L60" s="45" t="s">
        <v>405</v>
      </c>
      <c r="M60" s="48">
        <v>12342</v>
      </c>
      <c r="N60" s="48">
        <v>1001</v>
      </c>
      <c r="O60" s="48">
        <v>100000</v>
      </c>
    </row>
    <row r="61" spans="1:16" ht="16.5" customHeight="1">
      <c r="B61" s="44" t="s">
        <v>120</v>
      </c>
      <c r="C61" s="48">
        <v>3597</v>
      </c>
      <c r="D61" s="51">
        <v>0</v>
      </c>
      <c r="E61" s="48">
        <v>10744</v>
      </c>
      <c r="G61" s="45" t="s">
        <v>119</v>
      </c>
      <c r="H61" s="47">
        <v>0.85019999999999996</v>
      </c>
      <c r="I61" s="56">
        <v>4.444E-3</v>
      </c>
      <c r="J61" s="53">
        <v>2.6669999999999998</v>
      </c>
      <c r="L61" s="44" t="s">
        <v>403</v>
      </c>
      <c r="M61" s="52">
        <v>54.09</v>
      </c>
      <c r="N61" s="51">
        <v>32</v>
      </c>
      <c r="O61" s="51">
        <v>168</v>
      </c>
    </row>
    <row r="62" spans="1:16" ht="16.5" customHeight="1">
      <c r="B62" s="44" t="s">
        <v>121</v>
      </c>
      <c r="C62" s="48">
        <v>1472</v>
      </c>
      <c r="D62" s="51">
        <v>0</v>
      </c>
      <c r="E62" s="48">
        <v>4883</v>
      </c>
      <c r="G62" s="231" t="s">
        <v>452</v>
      </c>
      <c r="H62" s="56">
        <v>7.6689999999999996E-3</v>
      </c>
      <c r="I62" s="47">
        <v>0</v>
      </c>
      <c r="J62" s="47">
        <v>0.98</v>
      </c>
      <c r="L62" s="45" t="s">
        <v>119</v>
      </c>
      <c r="M62" s="53">
        <v>2.056</v>
      </c>
      <c r="N62" s="193">
        <v>7.4999999999999997E-2</v>
      </c>
      <c r="O62" s="53">
        <v>7.992</v>
      </c>
    </row>
    <row r="63" spans="1:16" ht="16.5" customHeight="1">
      <c r="B63" s="44" t="s">
        <v>122</v>
      </c>
      <c r="C63" s="47">
        <v>0.63900000000000001</v>
      </c>
      <c r="D63" s="51">
        <v>0</v>
      </c>
      <c r="E63" s="51">
        <v>1</v>
      </c>
      <c r="G63" s="44" t="s">
        <v>120</v>
      </c>
      <c r="H63" s="48">
        <v>1602</v>
      </c>
      <c r="I63" s="51">
        <v>0</v>
      </c>
      <c r="J63" s="48">
        <v>8532</v>
      </c>
      <c r="L63" s="45" t="s">
        <v>406</v>
      </c>
      <c r="M63" s="53">
        <v>3.028</v>
      </c>
      <c r="N63" s="193">
        <v>2.7029999999999998E-2</v>
      </c>
      <c r="O63" s="52">
        <v>14.06</v>
      </c>
    </row>
    <row r="64" spans="1:16" ht="30" customHeight="1">
      <c r="B64" s="44" t="s">
        <v>123</v>
      </c>
      <c r="C64" s="47">
        <v>0.26190000000000002</v>
      </c>
      <c r="D64" s="51">
        <v>0</v>
      </c>
      <c r="E64" s="51">
        <v>1</v>
      </c>
      <c r="G64" s="44" t="s">
        <v>404</v>
      </c>
      <c r="H64" s="49">
        <v>552.1</v>
      </c>
      <c r="I64" s="51">
        <v>0</v>
      </c>
      <c r="J64" s="48">
        <v>5284</v>
      </c>
      <c r="L64" s="44" t="s">
        <v>407</v>
      </c>
      <c r="M64" s="53">
        <v>6.3319999999999999</v>
      </c>
      <c r="N64" s="51">
        <v>0</v>
      </c>
      <c r="O64" s="53">
        <v>8.5329999999999995</v>
      </c>
    </row>
    <row r="65" spans="1:15" ht="16.5" customHeight="1">
      <c r="B65" s="44" t="s">
        <v>124</v>
      </c>
      <c r="C65" s="47">
        <v>0.25769999999999998</v>
      </c>
      <c r="D65" s="51">
        <v>0</v>
      </c>
      <c r="E65" s="51">
        <v>1</v>
      </c>
      <c r="L65" s="231" t="s">
        <v>433</v>
      </c>
      <c r="M65" s="51">
        <v>924</v>
      </c>
      <c r="N65" s="51">
        <v>0</v>
      </c>
      <c r="O65" s="53">
        <v>8.5329999999999995</v>
      </c>
    </row>
    <row r="66" spans="1:15">
      <c r="B66" t="str">
        <f>B76</f>
        <v>K-12 school</v>
      </c>
      <c r="G66" t="str">
        <f>G76</f>
        <v>Warehouse (covers distribution center, non-refrigerated warehouse, and refrigerated warehouse)</v>
      </c>
      <c r="L66" t="str">
        <f>L76</f>
        <v>Office (covers office, bank branch, financial office, and courthouse)</v>
      </c>
    </row>
    <row r="67" spans="1:15" ht="33.75" customHeight="1">
      <c r="B67" s="60"/>
      <c r="C67" s="57" t="s">
        <v>133</v>
      </c>
      <c r="G67" s="60"/>
      <c r="H67" s="57" t="s">
        <v>133</v>
      </c>
      <c r="L67" s="194"/>
      <c r="M67" s="195" t="s">
        <v>133</v>
      </c>
    </row>
    <row r="68" spans="1:15">
      <c r="A68">
        <v>1</v>
      </c>
      <c r="B68" s="115" t="s">
        <v>137</v>
      </c>
      <c r="C68" s="196">
        <v>101.7</v>
      </c>
      <c r="G68" s="55" t="s">
        <v>137</v>
      </c>
      <c r="H68" s="62">
        <v>69.62</v>
      </c>
      <c r="L68" s="55" t="s">
        <v>137</v>
      </c>
      <c r="M68" s="196">
        <v>143.1</v>
      </c>
    </row>
    <row r="69" spans="1:15">
      <c r="A69">
        <v>2</v>
      </c>
      <c r="B69" s="231" t="s">
        <v>119</v>
      </c>
      <c r="C69" s="52">
        <v>25.61</v>
      </c>
      <c r="G69" s="231" t="s">
        <v>119</v>
      </c>
      <c r="H69" s="52">
        <v>25.83</v>
      </c>
      <c r="L69" s="231" t="s">
        <v>119</v>
      </c>
      <c r="M69" s="52">
        <v>15.9</v>
      </c>
    </row>
    <row r="70" spans="1:15" ht="16.5" customHeight="1">
      <c r="A70">
        <v>3</v>
      </c>
      <c r="B70" s="231" t="s">
        <v>429</v>
      </c>
      <c r="C70" s="56">
        <v>8.3700000000000007E-3</v>
      </c>
      <c r="G70" s="231" t="s">
        <v>440</v>
      </c>
      <c r="H70" s="47">
        <v>0.1943</v>
      </c>
      <c r="L70" s="231" t="s">
        <v>405</v>
      </c>
      <c r="M70" s="197">
        <v>6.7679999999999997E-4</v>
      </c>
    </row>
    <row r="71" spans="1:15" ht="16.5" customHeight="1">
      <c r="A71">
        <v>4</v>
      </c>
      <c r="B71" s="231" t="s">
        <v>428</v>
      </c>
      <c r="C71" s="193">
        <v>2.0590000000000001E-2</v>
      </c>
      <c r="G71" s="231" t="s">
        <v>452</v>
      </c>
      <c r="H71" s="49">
        <v>239.3</v>
      </c>
      <c r="L71" s="231" t="s">
        <v>440</v>
      </c>
      <c r="M71" s="47">
        <v>0.61299999999999999</v>
      </c>
    </row>
    <row r="72" spans="1:15" ht="16.5" customHeight="1">
      <c r="A72">
        <v>5</v>
      </c>
      <c r="B72" s="114" t="s">
        <v>142</v>
      </c>
      <c r="C72" s="53">
        <v>8.1820000000000004</v>
      </c>
      <c r="G72" s="231" t="s">
        <v>429</v>
      </c>
      <c r="H72" s="56">
        <v>9.3699999999999999E-3</v>
      </c>
      <c r="L72" s="231" t="s">
        <v>406</v>
      </c>
      <c r="M72" s="52">
        <v>10.130000000000001</v>
      </c>
    </row>
    <row r="73" spans="1:15" ht="16.5" customHeight="1">
      <c r="A73">
        <v>6</v>
      </c>
      <c r="B73" s="44" t="s">
        <v>143</v>
      </c>
      <c r="C73" s="52">
        <v>15.66</v>
      </c>
      <c r="G73" s="231" t="s">
        <v>442</v>
      </c>
      <c r="H73" s="193">
        <v>1.209E-2</v>
      </c>
      <c r="L73" s="231" t="s">
        <v>443</v>
      </c>
      <c r="M73" s="53">
        <v>4.5289999999999999</v>
      </c>
    </row>
    <row r="74" spans="1:15" ht="33.75" customHeight="1">
      <c r="A74">
        <v>7</v>
      </c>
      <c r="B74" s="44" t="s">
        <v>144</v>
      </c>
      <c r="C74" s="52">
        <v>14.08</v>
      </c>
      <c r="L74" s="44" t="s">
        <v>408</v>
      </c>
      <c r="M74" s="52">
        <v>82.87</v>
      </c>
    </row>
    <row r="75" spans="1:15" ht="16.5" customHeight="1">
      <c r="A75">
        <v>8</v>
      </c>
      <c r="L75" s="44" t="s">
        <v>409</v>
      </c>
      <c r="M75" s="56">
        <v>4.6930000000000001E-3</v>
      </c>
    </row>
    <row r="76" spans="1:15" ht="16.5" customHeight="1">
      <c r="B76" t="str">
        <f>B57</f>
        <v>K-12 school</v>
      </c>
      <c r="G76" t="str">
        <f>G57</f>
        <v>Warehouse (covers distribution center, non-refrigerated warehouse, and refrigerated warehouse)</v>
      </c>
      <c r="L76" t="str">
        <f>L57</f>
        <v>Office (covers office, bank branch, financial office, and courthouse)</v>
      </c>
    </row>
    <row r="77" spans="1:15">
      <c r="B77" s="75" t="s">
        <v>168</v>
      </c>
      <c r="C77" s="75" t="s">
        <v>163</v>
      </c>
      <c r="G77" s="75" t="s">
        <v>168</v>
      </c>
      <c r="H77" s="75" t="s">
        <v>163</v>
      </c>
      <c r="L77" s="75" t="s">
        <v>168</v>
      </c>
      <c r="M77" s="75" t="s">
        <v>163</v>
      </c>
    </row>
    <row r="78" spans="1:15" ht="15" customHeight="1">
      <c r="B78" s="45" t="s">
        <v>169</v>
      </c>
      <c r="C78" s="70">
        <v>100000</v>
      </c>
      <c r="G78" s="45" t="s">
        <v>169</v>
      </c>
      <c r="H78" s="70">
        <v>125000</v>
      </c>
      <c r="L78" s="45" t="s">
        <v>169</v>
      </c>
      <c r="M78" s="70">
        <v>200000</v>
      </c>
    </row>
    <row r="79" spans="1:15" ht="15" customHeight="1">
      <c r="B79" s="65" t="s">
        <v>177</v>
      </c>
      <c r="C79" s="200">
        <v>1</v>
      </c>
      <c r="G79" s="65" t="s">
        <v>413</v>
      </c>
      <c r="H79" s="200">
        <v>0.2</v>
      </c>
      <c r="L79" s="65" t="s">
        <v>413</v>
      </c>
      <c r="M79" s="198">
        <v>1</v>
      </c>
    </row>
    <row r="80" spans="1:15" ht="15" customHeight="1">
      <c r="B80" s="65" t="s">
        <v>178</v>
      </c>
      <c r="C80" s="70">
        <v>4937</v>
      </c>
      <c r="G80" s="65" t="s">
        <v>178</v>
      </c>
      <c r="H80" s="70">
        <v>5806</v>
      </c>
      <c r="L80" s="65" t="s">
        <v>178</v>
      </c>
      <c r="M80" s="199">
        <v>4937</v>
      </c>
    </row>
    <row r="81" spans="1:13" ht="15" customHeight="1">
      <c r="B81" s="65" t="s">
        <v>179</v>
      </c>
      <c r="C81" s="70">
        <v>1046</v>
      </c>
      <c r="G81" s="65" t="s">
        <v>179</v>
      </c>
      <c r="H81" s="70">
        <v>1343</v>
      </c>
      <c r="L81" s="65" t="s">
        <v>179</v>
      </c>
      <c r="M81" s="199">
        <v>1046</v>
      </c>
    </row>
    <row r="82" spans="1:13" ht="15" customHeight="1">
      <c r="A82">
        <v>5</v>
      </c>
      <c r="B82" s="65" t="s">
        <v>170</v>
      </c>
      <c r="C82" s="65" t="s">
        <v>171</v>
      </c>
      <c r="G82" s="65" t="s">
        <v>410</v>
      </c>
      <c r="H82" s="199">
        <v>60</v>
      </c>
      <c r="L82" s="65" t="s">
        <v>410</v>
      </c>
      <c r="M82" s="199">
        <v>80</v>
      </c>
    </row>
    <row r="83" spans="1:13" ht="15" customHeight="1">
      <c r="A83">
        <v>6</v>
      </c>
      <c r="B83" s="65" t="s">
        <v>173</v>
      </c>
      <c r="C83" s="199">
        <v>80</v>
      </c>
      <c r="G83" s="45" t="s">
        <v>411</v>
      </c>
      <c r="H83" s="199">
        <v>90</v>
      </c>
      <c r="L83" s="45" t="s">
        <v>411</v>
      </c>
      <c r="M83" s="199">
        <v>300</v>
      </c>
    </row>
    <row r="84" spans="1:13" ht="15" customHeight="1">
      <c r="A84">
        <v>7</v>
      </c>
      <c r="B84" s="65" t="s">
        <v>172</v>
      </c>
      <c r="C84" s="65" t="s">
        <v>171</v>
      </c>
      <c r="G84" s="65" t="s">
        <v>414</v>
      </c>
      <c r="H84" s="200">
        <v>0.1</v>
      </c>
      <c r="L84" s="45" t="s">
        <v>436</v>
      </c>
      <c r="M84" s="199"/>
    </row>
    <row r="85" spans="1:13" ht="15" customHeight="1">
      <c r="A85">
        <v>8</v>
      </c>
      <c r="B85" s="65" t="s">
        <v>174</v>
      </c>
      <c r="C85" s="65" t="s">
        <v>175</v>
      </c>
      <c r="G85" s="65" t="s">
        <v>415</v>
      </c>
      <c r="H85" s="200">
        <v>1</v>
      </c>
      <c r="L85" s="65" t="s">
        <v>412</v>
      </c>
      <c r="M85" s="199">
        <v>300</v>
      </c>
    </row>
    <row r="86" spans="1:13" ht="15" customHeight="1">
      <c r="A86">
        <v>9</v>
      </c>
      <c r="B86" s="65" t="s">
        <v>432</v>
      </c>
      <c r="C86" s="65"/>
      <c r="G86" s="65"/>
      <c r="H86" s="200"/>
    </row>
    <row r="87" spans="1:13" ht="15" customHeight="1">
      <c r="A87">
        <v>10</v>
      </c>
      <c r="B87" s="65" t="s">
        <v>176</v>
      </c>
      <c r="C87" s="200">
        <v>1</v>
      </c>
    </row>
    <row r="88" spans="1:13" ht="15" customHeight="1"/>
    <row r="89" spans="1:13" ht="15" customHeight="1"/>
    <row r="90" spans="1:13" ht="15" customHeight="1"/>
  </sheetData>
  <mergeCells count="5">
    <mergeCell ref="B1:F1"/>
    <mergeCell ref="B29:F29"/>
    <mergeCell ref="B57:E57"/>
    <mergeCell ref="L57:P57"/>
    <mergeCell ref="G57:J5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844C0AF-A15D-4A6E-B577-1F0959B84414}">
          <x14:formula1>
            <xm:f>Refference!$A$2:$A$21</xm:f>
          </x14:formula1>
          <xm:sqref>L57:P57 B57:E57 G57:J57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629F-53F6-428E-B239-CDECAB8F77F3}">
  <dimension ref="A2:F13"/>
  <sheetViews>
    <sheetView workbookViewId="0">
      <selection activeCell="B7" sqref="B7"/>
    </sheetView>
  </sheetViews>
  <sheetFormatPr defaultRowHeight="14.5"/>
  <cols>
    <col min="1" max="1" width="27.81640625" customWidth="1"/>
    <col min="2" max="2" width="10.54296875" customWidth="1"/>
    <col min="3" max="3" width="11" customWidth="1"/>
    <col min="4" max="4" width="13.81640625" customWidth="1"/>
    <col min="6" max="6" width="21.453125" customWidth="1"/>
  </cols>
  <sheetData>
    <row r="2" spans="1:6">
      <c r="A2" t="s">
        <v>481</v>
      </c>
    </row>
    <row r="3" spans="1:6">
      <c r="A3" t="s">
        <v>482</v>
      </c>
      <c r="C3" t="s">
        <v>498</v>
      </c>
    </row>
    <row r="4" spans="1:6">
      <c r="A4" t="s">
        <v>483</v>
      </c>
      <c r="C4" t="s">
        <v>497</v>
      </c>
    </row>
    <row r="5" spans="1:6">
      <c r="A5" t="s">
        <v>484</v>
      </c>
      <c r="B5">
        <v>0.48</v>
      </c>
      <c r="C5" t="s">
        <v>497</v>
      </c>
    </row>
    <row r="6" spans="1:6">
      <c r="A6" t="s">
        <v>485</v>
      </c>
      <c r="B6">
        <f>52*5*10</f>
        <v>2600</v>
      </c>
      <c r="C6" t="s">
        <v>486</v>
      </c>
      <c r="D6" t="s">
        <v>487</v>
      </c>
      <c r="E6" t="s">
        <v>488</v>
      </c>
    </row>
    <row r="7" spans="1:6">
      <c r="A7" t="s">
        <v>489</v>
      </c>
    </row>
    <row r="8" spans="1:6">
      <c r="A8" t="s">
        <v>490</v>
      </c>
    </row>
    <row r="9" spans="1:6">
      <c r="A9" t="s">
        <v>491</v>
      </c>
    </row>
    <row r="12" spans="1:6" ht="27" customHeight="1">
      <c r="B12" t="s">
        <v>493</v>
      </c>
      <c r="C12" t="s">
        <v>492</v>
      </c>
      <c r="D12" s="116" t="s">
        <v>494</v>
      </c>
      <c r="E12" s="229" t="s">
        <v>495</v>
      </c>
      <c r="F12" s="116" t="s">
        <v>496</v>
      </c>
    </row>
    <row r="13" spans="1:6">
      <c r="C13">
        <v>0.48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BDB56-DC4A-4B02-859E-FCB300D073EA}">
  <sheetPr codeName="Sheet3"/>
  <dimension ref="A1:O103"/>
  <sheetViews>
    <sheetView workbookViewId="0">
      <selection activeCell="C4" sqref="C4"/>
    </sheetView>
  </sheetViews>
  <sheetFormatPr defaultColWidth="9.1796875" defaultRowHeight="13"/>
  <cols>
    <col min="1" max="1" width="9.1796875" style="1"/>
    <col min="2" max="2" width="11.81640625" style="7" customWidth="1"/>
    <col min="3" max="4" width="9.1796875" style="7"/>
    <col min="5" max="6" width="9.1796875" style="1"/>
    <col min="7" max="7" width="8.453125" style="1" customWidth="1"/>
    <col min="8" max="16384" width="9.1796875" style="1"/>
  </cols>
  <sheetData>
    <row r="1" spans="1:15">
      <c r="A1" s="99" t="s">
        <v>198</v>
      </c>
      <c r="F1" s="99" t="s">
        <v>197</v>
      </c>
      <c r="L1" s="99" t="s">
        <v>196</v>
      </c>
    </row>
    <row r="2" spans="1:15" ht="27.75" customHeight="1">
      <c r="A2" s="382" t="s">
        <v>195</v>
      </c>
      <c r="B2" s="98" t="s">
        <v>194</v>
      </c>
      <c r="C2" s="446" t="s">
        <v>193</v>
      </c>
      <c r="D2" s="446"/>
      <c r="F2" s="447" t="s">
        <v>195</v>
      </c>
      <c r="G2" s="95" t="s">
        <v>194</v>
      </c>
      <c r="H2" s="445" t="s">
        <v>193</v>
      </c>
      <c r="I2" s="445"/>
      <c r="L2" s="447" t="s">
        <v>195</v>
      </c>
      <c r="M2" s="95" t="s">
        <v>194</v>
      </c>
      <c r="N2" s="445" t="s">
        <v>193</v>
      </c>
      <c r="O2" s="445"/>
    </row>
    <row r="3" spans="1:15">
      <c r="A3" s="382"/>
      <c r="B3" s="98"/>
      <c r="C3" s="97" t="s">
        <v>192</v>
      </c>
      <c r="D3" s="97" t="s">
        <v>191</v>
      </c>
      <c r="F3" s="447"/>
      <c r="G3" s="95"/>
      <c r="H3" s="96" t="s">
        <v>192</v>
      </c>
      <c r="I3" s="96" t="s">
        <v>191</v>
      </c>
      <c r="L3" s="447"/>
      <c r="M3" s="95"/>
      <c r="N3" s="94" t="s">
        <v>192</v>
      </c>
      <c r="O3" s="94" t="s">
        <v>191</v>
      </c>
    </row>
    <row r="4" spans="1:15">
      <c r="A4" s="91">
        <v>100</v>
      </c>
      <c r="B4" s="93">
        <v>0</v>
      </c>
      <c r="C4" s="92">
        <v>0</v>
      </c>
      <c r="D4" s="92">
        <v>0.19320000000000001</v>
      </c>
      <c r="F4" s="91">
        <v>100</v>
      </c>
      <c r="G4" s="90">
        <v>0</v>
      </c>
      <c r="H4" s="89">
        <v>0</v>
      </c>
      <c r="I4" s="89">
        <v>9.9599999999999994E-2</v>
      </c>
      <c r="L4" s="91">
        <v>100</v>
      </c>
      <c r="M4" s="90">
        <v>0</v>
      </c>
      <c r="N4" s="89">
        <v>0</v>
      </c>
      <c r="O4" s="89">
        <v>0.31580000000000003</v>
      </c>
    </row>
    <row r="5" spans="1:15">
      <c r="A5" s="85">
        <v>99</v>
      </c>
      <c r="B5" s="88">
        <v>0.01</v>
      </c>
      <c r="C5" s="87">
        <v>0.19320000000000001</v>
      </c>
      <c r="D5" s="87">
        <v>0.2384</v>
      </c>
      <c r="F5" s="85">
        <v>99</v>
      </c>
      <c r="G5" s="84">
        <v>0.01</v>
      </c>
      <c r="H5" s="83">
        <v>9.9599999999999994E-2</v>
      </c>
      <c r="I5" s="83">
        <v>0.13739999999999999</v>
      </c>
      <c r="L5" s="85">
        <v>99</v>
      </c>
      <c r="M5" s="84">
        <v>0.01</v>
      </c>
      <c r="N5" s="83">
        <v>0.31580000000000003</v>
      </c>
      <c r="O5" s="83">
        <v>0.3664</v>
      </c>
    </row>
    <row r="6" spans="1:15">
      <c r="A6" s="91">
        <v>98</v>
      </c>
      <c r="B6" s="93">
        <v>0.02</v>
      </c>
      <c r="C6" s="92">
        <v>0.2384</v>
      </c>
      <c r="D6" s="92">
        <v>0.27079999999999999</v>
      </c>
      <c r="F6" s="91">
        <v>98</v>
      </c>
      <c r="G6" s="90">
        <v>0.02</v>
      </c>
      <c r="H6" s="89">
        <v>0.13739999999999999</v>
      </c>
      <c r="I6" s="89">
        <v>0.16650000000000001</v>
      </c>
      <c r="L6" s="91">
        <v>98</v>
      </c>
      <c r="M6" s="90">
        <v>0.02</v>
      </c>
      <c r="N6" s="89">
        <v>0.3664</v>
      </c>
      <c r="O6" s="89">
        <v>0.40150000000000002</v>
      </c>
    </row>
    <row r="7" spans="1:15">
      <c r="A7" s="85">
        <v>97</v>
      </c>
      <c r="B7" s="88">
        <v>0.03</v>
      </c>
      <c r="C7" s="87">
        <v>0.27079999999999999</v>
      </c>
      <c r="D7" s="87">
        <v>0.29730000000000001</v>
      </c>
      <c r="F7" s="85">
        <v>97</v>
      </c>
      <c r="G7" s="84">
        <v>0.03</v>
      </c>
      <c r="H7" s="83">
        <v>0.16650000000000001</v>
      </c>
      <c r="I7" s="83">
        <v>0.1915</v>
      </c>
      <c r="L7" s="85">
        <v>97</v>
      </c>
      <c r="M7" s="84">
        <v>0.03</v>
      </c>
      <c r="N7" s="83">
        <v>0.40150000000000002</v>
      </c>
      <c r="O7" s="83">
        <v>0.4294</v>
      </c>
    </row>
    <row r="8" spans="1:15">
      <c r="A8" s="91">
        <v>96</v>
      </c>
      <c r="B8" s="93">
        <v>0.04</v>
      </c>
      <c r="C8" s="92">
        <v>0.29730000000000001</v>
      </c>
      <c r="D8" s="92">
        <v>0.32019999999999998</v>
      </c>
      <c r="F8" s="91">
        <v>96</v>
      </c>
      <c r="G8" s="90">
        <v>0.04</v>
      </c>
      <c r="H8" s="89">
        <v>0.1915</v>
      </c>
      <c r="I8" s="89">
        <v>0.21379999999999999</v>
      </c>
      <c r="L8" s="91">
        <v>96</v>
      </c>
      <c r="M8" s="90">
        <v>0.04</v>
      </c>
      <c r="N8" s="89">
        <v>0.4294</v>
      </c>
      <c r="O8" s="89">
        <v>0.4531</v>
      </c>
    </row>
    <row r="9" spans="1:15">
      <c r="A9" s="85">
        <v>95</v>
      </c>
      <c r="B9" s="88">
        <v>0.05</v>
      </c>
      <c r="C9" s="87">
        <v>0.32019999999999998</v>
      </c>
      <c r="D9" s="87">
        <v>0.3407</v>
      </c>
      <c r="F9" s="85">
        <v>95</v>
      </c>
      <c r="G9" s="84">
        <v>0.05</v>
      </c>
      <c r="H9" s="83">
        <v>0.21379999999999999</v>
      </c>
      <c r="I9" s="83">
        <v>0.23419999999999999</v>
      </c>
      <c r="L9" s="85">
        <v>95</v>
      </c>
      <c r="M9" s="84">
        <v>0.05</v>
      </c>
      <c r="N9" s="83">
        <v>0.4531</v>
      </c>
      <c r="O9" s="83">
        <v>0.47399999999999998</v>
      </c>
    </row>
    <row r="10" spans="1:15">
      <c r="A10" s="91">
        <v>94</v>
      </c>
      <c r="B10" s="93">
        <v>0.06</v>
      </c>
      <c r="C10" s="92">
        <v>0.3407</v>
      </c>
      <c r="D10" s="92">
        <v>0.35949999999999999</v>
      </c>
      <c r="F10" s="91">
        <v>94</v>
      </c>
      <c r="G10" s="90">
        <v>0.06</v>
      </c>
      <c r="H10" s="89">
        <v>0.23419999999999999</v>
      </c>
      <c r="I10" s="89">
        <v>0.25340000000000001</v>
      </c>
      <c r="L10" s="91">
        <v>94</v>
      </c>
      <c r="M10" s="90">
        <v>0.06</v>
      </c>
      <c r="N10" s="89">
        <v>0.47399999999999998</v>
      </c>
      <c r="O10" s="89">
        <v>0.49280000000000002</v>
      </c>
    </row>
    <row r="11" spans="1:15">
      <c r="A11" s="85">
        <v>93</v>
      </c>
      <c r="B11" s="88">
        <v>7.0000000000000007E-2</v>
      </c>
      <c r="C11" s="87">
        <v>0.35949999999999999</v>
      </c>
      <c r="D11" s="87">
        <v>0.37690000000000001</v>
      </c>
      <c r="F11" s="85">
        <v>93</v>
      </c>
      <c r="G11" s="84">
        <v>7.0000000000000007E-2</v>
      </c>
      <c r="H11" s="83">
        <v>0.25340000000000001</v>
      </c>
      <c r="I11" s="83">
        <v>0.27150000000000002</v>
      </c>
      <c r="L11" s="85">
        <v>93</v>
      </c>
      <c r="M11" s="84">
        <v>7.0000000000000007E-2</v>
      </c>
      <c r="N11" s="83">
        <v>0.49280000000000002</v>
      </c>
      <c r="O11" s="83">
        <v>0.51019999999999999</v>
      </c>
    </row>
    <row r="12" spans="1:15">
      <c r="A12" s="91">
        <v>92</v>
      </c>
      <c r="B12" s="93">
        <v>0.08</v>
      </c>
      <c r="C12" s="92">
        <v>0.37690000000000001</v>
      </c>
      <c r="D12" s="92">
        <v>0.39319999999999999</v>
      </c>
      <c r="F12" s="91">
        <v>92</v>
      </c>
      <c r="G12" s="90">
        <v>0.08</v>
      </c>
      <c r="H12" s="89">
        <v>0.27150000000000002</v>
      </c>
      <c r="I12" s="89">
        <v>0.2888</v>
      </c>
      <c r="L12" s="91">
        <v>92</v>
      </c>
      <c r="M12" s="90">
        <v>0.08</v>
      </c>
      <c r="N12" s="89">
        <v>0.51019999999999999</v>
      </c>
      <c r="O12" s="89">
        <v>0.52629999999999999</v>
      </c>
    </row>
    <row r="13" spans="1:15">
      <c r="A13" s="85">
        <v>91</v>
      </c>
      <c r="B13" s="88">
        <v>0.09</v>
      </c>
      <c r="C13" s="87">
        <v>0.39319999999999999</v>
      </c>
      <c r="D13" s="87">
        <v>0.40870000000000001</v>
      </c>
      <c r="F13" s="85">
        <v>91</v>
      </c>
      <c r="G13" s="84">
        <v>0.09</v>
      </c>
      <c r="H13" s="83">
        <v>0.2888</v>
      </c>
      <c r="I13" s="83">
        <v>0.3054</v>
      </c>
      <c r="L13" s="85">
        <v>91</v>
      </c>
      <c r="M13" s="84">
        <v>0.09</v>
      </c>
      <c r="N13" s="83">
        <v>0.52629999999999999</v>
      </c>
      <c r="O13" s="83">
        <v>0.54149999999999998</v>
      </c>
    </row>
    <row r="14" spans="1:15">
      <c r="A14" s="91">
        <v>90</v>
      </c>
      <c r="B14" s="93">
        <v>0.1</v>
      </c>
      <c r="C14" s="92">
        <v>0.40870000000000001</v>
      </c>
      <c r="D14" s="92">
        <v>0.4234</v>
      </c>
      <c r="F14" s="91">
        <v>90</v>
      </c>
      <c r="G14" s="90">
        <v>0.1</v>
      </c>
      <c r="H14" s="89">
        <v>0.3054</v>
      </c>
      <c r="I14" s="89">
        <v>0.32150000000000001</v>
      </c>
      <c r="L14" s="91">
        <v>90</v>
      </c>
      <c r="M14" s="90">
        <v>0.1</v>
      </c>
      <c r="N14" s="89">
        <v>0.54149999999999998</v>
      </c>
      <c r="O14" s="89">
        <v>0.55589999999999995</v>
      </c>
    </row>
    <row r="15" spans="1:15">
      <c r="A15" s="85">
        <v>89</v>
      </c>
      <c r="B15" s="88">
        <v>0.11</v>
      </c>
      <c r="C15" s="87">
        <v>0.4234</v>
      </c>
      <c r="D15" s="87">
        <v>0.43759999999999999</v>
      </c>
      <c r="F15" s="85">
        <v>89</v>
      </c>
      <c r="G15" s="84">
        <v>0.11</v>
      </c>
      <c r="H15" s="83">
        <v>0.32150000000000001</v>
      </c>
      <c r="I15" s="83">
        <v>0.33710000000000001</v>
      </c>
      <c r="L15" s="85">
        <v>89</v>
      </c>
      <c r="M15" s="84">
        <v>0.11</v>
      </c>
      <c r="N15" s="83">
        <v>0.55589999999999995</v>
      </c>
      <c r="O15" s="83">
        <v>0.5696</v>
      </c>
    </row>
    <row r="16" spans="1:15">
      <c r="A16" s="91">
        <v>88</v>
      </c>
      <c r="B16" s="93">
        <v>0.12</v>
      </c>
      <c r="C16" s="92">
        <v>0.43759999999999999</v>
      </c>
      <c r="D16" s="92">
        <v>0.45129999999999998</v>
      </c>
      <c r="F16" s="91">
        <v>88</v>
      </c>
      <c r="G16" s="90">
        <v>0.12</v>
      </c>
      <c r="H16" s="89">
        <v>0.33710000000000001</v>
      </c>
      <c r="I16" s="89">
        <v>0.3523</v>
      </c>
      <c r="L16" s="91">
        <v>88</v>
      </c>
      <c r="M16" s="90">
        <v>0.12</v>
      </c>
      <c r="N16" s="89">
        <v>0.5696</v>
      </c>
      <c r="O16" s="89">
        <v>0.5827</v>
      </c>
    </row>
    <row r="17" spans="1:15">
      <c r="A17" s="85">
        <v>87</v>
      </c>
      <c r="B17" s="88">
        <v>0.13</v>
      </c>
      <c r="C17" s="87">
        <v>0.45129999999999998</v>
      </c>
      <c r="D17" s="87">
        <v>0.46460000000000001</v>
      </c>
      <c r="F17" s="85">
        <v>87</v>
      </c>
      <c r="G17" s="84">
        <v>0.13</v>
      </c>
      <c r="H17" s="83">
        <v>0.3523</v>
      </c>
      <c r="I17" s="83">
        <v>0.36720000000000003</v>
      </c>
      <c r="L17" s="85">
        <v>87</v>
      </c>
      <c r="M17" s="84">
        <v>0.13</v>
      </c>
      <c r="N17" s="83">
        <v>0.5827</v>
      </c>
      <c r="O17" s="83">
        <v>0.59540000000000004</v>
      </c>
    </row>
    <row r="18" spans="1:15">
      <c r="A18" s="91">
        <v>86</v>
      </c>
      <c r="B18" s="93">
        <v>0.14000000000000001</v>
      </c>
      <c r="C18" s="92">
        <v>0.46460000000000001</v>
      </c>
      <c r="D18" s="92">
        <v>0.47739999999999999</v>
      </c>
      <c r="F18" s="91">
        <v>86</v>
      </c>
      <c r="G18" s="90">
        <v>0.14000000000000001</v>
      </c>
      <c r="H18" s="89">
        <v>0.36720000000000003</v>
      </c>
      <c r="I18" s="89">
        <v>0.38179999999999997</v>
      </c>
      <c r="L18" s="91">
        <v>86</v>
      </c>
      <c r="M18" s="90">
        <v>0.14000000000000001</v>
      </c>
      <c r="N18" s="89">
        <v>0.59540000000000004</v>
      </c>
      <c r="O18" s="89">
        <v>0.60760000000000003</v>
      </c>
    </row>
    <row r="19" spans="1:15">
      <c r="A19" s="85">
        <v>85</v>
      </c>
      <c r="B19" s="88">
        <v>0.15</v>
      </c>
      <c r="C19" s="87">
        <v>0.47739999999999999</v>
      </c>
      <c r="D19" s="87">
        <v>0.49</v>
      </c>
      <c r="F19" s="85">
        <v>85</v>
      </c>
      <c r="G19" s="84">
        <v>0.15</v>
      </c>
      <c r="H19" s="83">
        <v>0.38179999999999997</v>
      </c>
      <c r="I19" s="83">
        <v>0.39610000000000001</v>
      </c>
      <c r="L19" s="85">
        <v>85</v>
      </c>
      <c r="M19" s="84">
        <v>0.15</v>
      </c>
      <c r="N19" s="83">
        <v>0.60760000000000003</v>
      </c>
      <c r="O19" s="83">
        <v>0.61950000000000005</v>
      </c>
    </row>
    <row r="20" spans="1:15">
      <c r="A20" s="91">
        <v>84</v>
      </c>
      <c r="B20" s="93">
        <v>0.16</v>
      </c>
      <c r="C20" s="92">
        <v>0.49</v>
      </c>
      <c r="D20" s="92">
        <v>0.50219999999999998</v>
      </c>
      <c r="F20" s="91">
        <v>84</v>
      </c>
      <c r="G20" s="90">
        <v>0.16</v>
      </c>
      <c r="H20" s="89">
        <v>0.39610000000000001</v>
      </c>
      <c r="I20" s="89">
        <v>0.41020000000000001</v>
      </c>
      <c r="L20" s="91">
        <v>84</v>
      </c>
      <c r="M20" s="90">
        <v>0.16</v>
      </c>
      <c r="N20" s="89">
        <v>0.61950000000000005</v>
      </c>
      <c r="O20" s="89">
        <v>0.63100000000000001</v>
      </c>
    </row>
    <row r="21" spans="1:15">
      <c r="A21" s="85">
        <v>83</v>
      </c>
      <c r="B21" s="88">
        <v>0.17</v>
      </c>
      <c r="C21" s="87">
        <v>0.50219999999999998</v>
      </c>
      <c r="D21" s="87">
        <v>0.51419999999999999</v>
      </c>
      <c r="F21" s="85">
        <v>83</v>
      </c>
      <c r="G21" s="84">
        <v>0.17</v>
      </c>
      <c r="H21" s="83">
        <v>0.41020000000000001</v>
      </c>
      <c r="I21" s="83">
        <v>0.42420000000000002</v>
      </c>
      <c r="L21" s="85">
        <v>83</v>
      </c>
      <c r="M21" s="84">
        <v>0.17</v>
      </c>
      <c r="N21" s="83">
        <v>0.63100000000000001</v>
      </c>
      <c r="O21" s="83">
        <v>0.64219999999999999</v>
      </c>
    </row>
    <row r="22" spans="1:15">
      <c r="A22" s="91">
        <v>82</v>
      </c>
      <c r="B22" s="93">
        <v>0.18</v>
      </c>
      <c r="C22" s="92">
        <v>0.51419999999999999</v>
      </c>
      <c r="D22" s="92">
        <v>0.52600000000000002</v>
      </c>
      <c r="F22" s="91">
        <v>82</v>
      </c>
      <c r="G22" s="90">
        <v>0.18</v>
      </c>
      <c r="H22" s="89">
        <v>0.42420000000000002</v>
      </c>
      <c r="I22" s="89">
        <v>0.438</v>
      </c>
      <c r="L22" s="91">
        <v>82</v>
      </c>
      <c r="M22" s="90">
        <v>0.18</v>
      </c>
      <c r="N22" s="89">
        <v>0.64219999999999999</v>
      </c>
      <c r="O22" s="89">
        <v>0.6532</v>
      </c>
    </row>
    <row r="23" spans="1:15">
      <c r="A23" s="85">
        <v>81</v>
      </c>
      <c r="B23" s="88">
        <v>0.19</v>
      </c>
      <c r="C23" s="87">
        <v>0.52600000000000002</v>
      </c>
      <c r="D23" s="87">
        <v>0.53759999999999997</v>
      </c>
      <c r="F23" s="85">
        <v>81</v>
      </c>
      <c r="G23" s="84">
        <v>0.19</v>
      </c>
      <c r="H23" s="83">
        <v>0.438</v>
      </c>
      <c r="I23" s="83">
        <v>0.4516</v>
      </c>
      <c r="L23" s="85">
        <v>81</v>
      </c>
      <c r="M23" s="84">
        <v>0.19</v>
      </c>
      <c r="N23" s="83">
        <v>0.6532</v>
      </c>
      <c r="O23" s="83">
        <v>0.66400000000000003</v>
      </c>
    </row>
    <row r="24" spans="1:15">
      <c r="A24" s="91">
        <v>80</v>
      </c>
      <c r="B24" s="93">
        <v>0.2</v>
      </c>
      <c r="C24" s="92">
        <v>0.53759999999999997</v>
      </c>
      <c r="D24" s="92">
        <v>0.54900000000000004</v>
      </c>
      <c r="F24" s="91">
        <v>80</v>
      </c>
      <c r="G24" s="90">
        <v>0.2</v>
      </c>
      <c r="H24" s="89">
        <v>0.4516</v>
      </c>
      <c r="I24" s="89">
        <v>0.4652</v>
      </c>
      <c r="L24" s="91">
        <v>80</v>
      </c>
      <c r="M24" s="90">
        <v>0.2</v>
      </c>
      <c r="N24" s="89">
        <v>0.66400000000000003</v>
      </c>
      <c r="O24" s="89">
        <v>0.67459999999999998</v>
      </c>
    </row>
    <row r="25" spans="1:15">
      <c r="A25" s="85">
        <v>79</v>
      </c>
      <c r="B25" s="88">
        <v>0.21</v>
      </c>
      <c r="C25" s="87">
        <v>0.54900000000000004</v>
      </c>
      <c r="D25" s="87">
        <v>0.56030000000000002</v>
      </c>
      <c r="F25" s="85">
        <v>79</v>
      </c>
      <c r="G25" s="84">
        <v>0.21</v>
      </c>
      <c r="H25" s="83">
        <v>0.4652</v>
      </c>
      <c r="I25" s="83">
        <v>0.47860000000000003</v>
      </c>
      <c r="L25" s="85">
        <v>79</v>
      </c>
      <c r="M25" s="84">
        <v>0.21</v>
      </c>
      <c r="N25" s="83">
        <v>0.67459999999999998</v>
      </c>
      <c r="O25" s="83">
        <v>0.68489999999999995</v>
      </c>
    </row>
    <row r="26" spans="1:15">
      <c r="A26" s="91">
        <v>78</v>
      </c>
      <c r="B26" s="93">
        <v>0.22</v>
      </c>
      <c r="C26" s="92">
        <v>0.56030000000000002</v>
      </c>
      <c r="D26" s="92">
        <v>0.57140000000000002</v>
      </c>
      <c r="F26" s="91">
        <v>78</v>
      </c>
      <c r="G26" s="90">
        <v>0.22</v>
      </c>
      <c r="H26" s="89">
        <v>0.47860000000000003</v>
      </c>
      <c r="I26" s="89">
        <v>0.49199999999999999</v>
      </c>
      <c r="L26" s="91">
        <v>78</v>
      </c>
      <c r="M26" s="90">
        <v>0.22</v>
      </c>
      <c r="N26" s="89">
        <v>0.68489999999999995</v>
      </c>
      <c r="O26" s="89">
        <v>0.69510000000000005</v>
      </c>
    </row>
    <row r="27" spans="1:15">
      <c r="A27" s="85">
        <v>77</v>
      </c>
      <c r="B27" s="88">
        <v>0.23</v>
      </c>
      <c r="C27" s="87">
        <v>0.57140000000000002</v>
      </c>
      <c r="D27" s="87">
        <v>0.58240000000000003</v>
      </c>
      <c r="F27" s="85">
        <v>77</v>
      </c>
      <c r="G27" s="84">
        <v>0.23</v>
      </c>
      <c r="H27" s="83">
        <v>0.49199999999999999</v>
      </c>
      <c r="I27" s="83">
        <v>0.50529999999999997</v>
      </c>
      <c r="L27" s="85">
        <v>77</v>
      </c>
      <c r="M27" s="84">
        <v>0.23</v>
      </c>
      <c r="N27" s="83">
        <v>0.69510000000000005</v>
      </c>
      <c r="O27" s="83">
        <v>0.70520000000000005</v>
      </c>
    </row>
    <row r="28" spans="1:15">
      <c r="A28" s="91">
        <v>76</v>
      </c>
      <c r="B28" s="93">
        <v>0.24</v>
      </c>
      <c r="C28" s="92">
        <v>0.58240000000000003</v>
      </c>
      <c r="D28" s="92">
        <v>0.59330000000000005</v>
      </c>
      <c r="F28" s="91">
        <v>76</v>
      </c>
      <c r="G28" s="90">
        <v>0.24</v>
      </c>
      <c r="H28" s="89">
        <v>0.50529999999999997</v>
      </c>
      <c r="I28" s="89">
        <v>0.51849999999999996</v>
      </c>
      <c r="L28" s="91">
        <v>76</v>
      </c>
      <c r="M28" s="90">
        <v>0.24</v>
      </c>
      <c r="N28" s="89">
        <v>0.70520000000000005</v>
      </c>
      <c r="O28" s="89">
        <v>0.71519999999999995</v>
      </c>
    </row>
    <row r="29" spans="1:15">
      <c r="A29" s="85">
        <v>75</v>
      </c>
      <c r="B29" s="88">
        <v>0.25</v>
      </c>
      <c r="C29" s="87">
        <v>0.59330000000000005</v>
      </c>
      <c r="D29" s="87">
        <v>0.60409999999999997</v>
      </c>
      <c r="F29" s="85">
        <v>75</v>
      </c>
      <c r="G29" s="84">
        <v>0.25</v>
      </c>
      <c r="H29" s="83">
        <v>0.51849999999999996</v>
      </c>
      <c r="I29" s="83">
        <v>0.53169999999999995</v>
      </c>
      <c r="L29" s="85">
        <v>75</v>
      </c>
      <c r="M29" s="84">
        <v>0.25</v>
      </c>
      <c r="N29" s="83">
        <v>0.71519999999999995</v>
      </c>
      <c r="O29" s="83">
        <v>0.72499999999999998</v>
      </c>
    </row>
    <row r="30" spans="1:15">
      <c r="A30" s="91">
        <v>74</v>
      </c>
      <c r="B30" s="93">
        <v>0.26</v>
      </c>
      <c r="C30" s="92">
        <v>0.60409999999999997</v>
      </c>
      <c r="D30" s="92">
        <v>0.61480000000000001</v>
      </c>
      <c r="F30" s="91">
        <v>74</v>
      </c>
      <c r="G30" s="90">
        <v>0.26</v>
      </c>
      <c r="H30" s="89">
        <v>0.53169999999999995</v>
      </c>
      <c r="I30" s="89">
        <v>0.54490000000000005</v>
      </c>
      <c r="L30" s="91">
        <v>74</v>
      </c>
      <c r="M30" s="90">
        <v>0.26</v>
      </c>
      <c r="N30" s="89">
        <v>0.72499999999999998</v>
      </c>
      <c r="O30" s="89">
        <v>0.73470000000000002</v>
      </c>
    </row>
    <row r="31" spans="1:15">
      <c r="A31" s="85">
        <v>73</v>
      </c>
      <c r="B31" s="88">
        <v>0.27</v>
      </c>
      <c r="C31" s="87">
        <v>0.61480000000000001</v>
      </c>
      <c r="D31" s="87">
        <v>0.62549999999999994</v>
      </c>
      <c r="F31" s="85">
        <v>73</v>
      </c>
      <c r="G31" s="84">
        <v>0.27</v>
      </c>
      <c r="H31" s="83">
        <v>0.54490000000000005</v>
      </c>
      <c r="I31" s="83">
        <v>0.55800000000000005</v>
      </c>
      <c r="L31" s="85">
        <v>73</v>
      </c>
      <c r="M31" s="84">
        <v>0.27</v>
      </c>
      <c r="N31" s="83">
        <v>0.73470000000000002</v>
      </c>
      <c r="O31" s="83">
        <v>0.74429999999999996</v>
      </c>
    </row>
    <row r="32" spans="1:15">
      <c r="A32" s="91">
        <v>72</v>
      </c>
      <c r="B32" s="93">
        <v>0.28000000000000003</v>
      </c>
      <c r="C32" s="92">
        <v>0.62549999999999994</v>
      </c>
      <c r="D32" s="92">
        <v>0.6361</v>
      </c>
      <c r="F32" s="91">
        <v>72</v>
      </c>
      <c r="G32" s="90">
        <v>0.28000000000000003</v>
      </c>
      <c r="H32" s="89">
        <v>0.55800000000000005</v>
      </c>
      <c r="I32" s="89">
        <v>0.57110000000000005</v>
      </c>
      <c r="L32" s="91">
        <v>72</v>
      </c>
      <c r="M32" s="90">
        <v>0.28000000000000003</v>
      </c>
      <c r="N32" s="89">
        <v>0.74429999999999996</v>
      </c>
      <c r="O32" s="89">
        <v>0.75390000000000001</v>
      </c>
    </row>
    <row r="33" spans="1:15">
      <c r="A33" s="85">
        <v>71</v>
      </c>
      <c r="B33" s="88">
        <v>0.28999999999999998</v>
      </c>
      <c r="C33" s="87">
        <v>0.6361</v>
      </c>
      <c r="D33" s="87">
        <v>0.64659999999999995</v>
      </c>
      <c r="F33" s="85">
        <v>71</v>
      </c>
      <c r="G33" s="84">
        <v>0.28999999999999998</v>
      </c>
      <c r="H33" s="83">
        <v>0.57110000000000005</v>
      </c>
      <c r="I33" s="83">
        <v>0.58430000000000004</v>
      </c>
      <c r="L33" s="85">
        <v>71</v>
      </c>
      <c r="M33" s="84">
        <v>0.28999999999999998</v>
      </c>
      <c r="N33" s="83">
        <v>0.75390000000000001</v>
      </c>
      <c r="O33" s="83">
        <v>0.76339999999999997</v>
      </c>
    </row>
    <row r="34" spans="1:15">
      <c r="A34" s="91">
        <v>70</v>
      </c>
      <c r="B34" s="93">
        <v>0.3</v>
      </c>
      <c r="C34" s="92">
        <v>0.64659999999999995</v>
      </c>
      <c r="D34" s="92">
        <v>0.65710000000000002</v>
      </c>
      <c r="F34" s="91">
        <v>70</v>
      </c>
      <c r="G34" s="90">
        <v>0.3</v>
      </c>
      <c r="H34" s="89">
        <v>0.58430000000000004</v>
      </c>
      <c r="I34" s="89">
        <v>0.59740000000000004</v>
      </c>
      <c r="L34" s="91">
        <v>70</v>
      </c>
      <c r="M34" s="90">
        <v>0.3</v>
      </c>
      <c r="N34" s="89">
        <v>0.76339999999999997</v>
      </c>
      <c r="O34" s="89">
        <v>0.77280000000000004</v>
      </c>
    </row>
    <row r="35" spans="1:15">
      <c r="A35" s="85">
        <v>69</v>
      </c>
      <c r="B35" s="88">
        <v>0.31</v>
      </c>
      <c r="C35" s="87">
        <v>0.65710000000000002</v>
      </c>
      <c r="D35" s="87">
        <v>0.66759999999999997</v>
      </c>
      <c r="F35" s="85">
        <v>69</v>
      </c>
      <c r="G35" s="84">
        <v>0.31</v>
      </c>
      <c r="H35" s="83">
        <v>0.59740000000000004</v>
      </c>
      <c r="I35" s="83">
        <v>0.61050000000000004</v>
      </c>
      <c r="L35" s="85">
        <v>69</v>
      </c>
      <c r="M35" s="84">
        <v>0.31</v>
      </c>
      <c r="N35" s="83">
        <v>0.77280000000000004</v>
      </c>
      <c r="O35" s="83">
        <v>0.78210000000000002</v>
      </c>
    </row>
    <row r="36" spans="1:15">
      <c r="A36" s="91">
        <v>68</v>
      </c>
      <c r="B36" s="93">
        <v>0.32</v>
      </c>
      <c r="C36" s="92">
        <v>0.66759999999999997</v>
      </c>
      <c r="D36" s="92">
        <v>0.67800000000000005</v>
      </c>
      <c r="F36" s="91">
        <v>68</v>
      </c>
      <c r="G36" s="90">
        <v>0.32</v>
      </c>
      <c r="H36" s="89">
        <v>0.61050000000000004</v>
      </c>
      <c r="I36" s="89">
        <v>0.62370000000000003</v>
      </c>
      <c r="L36" s="91">
        <v>68</v>
      </c>
      <c r="M36" s="90">
        <v>0.32</v>
      </c>
      <c r="N36" s="89">
        <v>0.78210000000000002</v>
      </c>
      <c r="O36" s="89">
        <v>0.79149999999999998</v>
      </c>
    </row>
    <row r="37" spans="1:15">
      <c r="A37" s="85">
        <v>67</v>
      </c>
      <c r="B37" s="88">
        <v>0.33</v>
      </c>
      <c r="C37" s="87">
        <v>0.67800000000000005</v>
      </c>
      <c r="D37" s="87">
        <v>0.68840000000000001</v>
      </c>
      <c r="F37" s="85">
        <v>67</v>
      </c>
      <c r="G37" s="84">
        <v>0.33</v>
      </c>
      <c r="H37" s="83">
        <v>0.62370000000000003</v>
      </c>
      <c r="I37" s="83">
        <v>0.63690000000000002</v>
      </c>
      <c r="L37" s="85">
        <v>67</v>
      </c>
      <c r="M37" s="84">
        <v>0.33</v>
      </c>
      <c r="N37" s="83">
        <v>0.79149999999999998</v>
      </c>
      <c r="O37" s="83">
        <v>0.80069999999999997</v>
      </c>
    </row>
    <row r="38" spans="1:15">
      <c r="A38" s="91">
        <v>66</v>
      </c>
      <c r="B38" s="93">
        <v>0.34</v>
      </c>
      <c r="C38" s="92">
        <v>0.68840000000000001</v>
      </c>
      <c r="D38" s="92">
        <v>0.69889999999999997</v>
      </c>
      <c r="F38" s="91">
        <v>66</v>
      </c>
      <c r="G38" s="90">
        <v>0.34</v>
      </c>
      <c r="H38" s="89">
        <v>0.63690000000000002</v>
      </c>
      <c r="I38" s="89">
        <v>0.6502</v>
      </c>
      <c r="L38" s="91">
        <v>66</v>
      </c>
      <c r="M38" s="90">
        <v>0.34</v>
      </c>
      <c r="N38" s="89">
        <v>0.80069999999999997</v>
      </c>
      <c r="O38" s="89">
        <v>0.81</v>
      </c>
    </row>
    <row r="39" spans="1:15">
      <c r="A39" s="85">
        <v>65</v>
      </c>
      <c r="B39" s="88">
        <v>0.35</v>
      </c>
      <c r="C39" s="87">
        <v>0.69889999999999997</v>
      </c>
      <c r="D39" s="87">
        <v>0.70930000000000004</v>
      </c>
      <c r="F39" s="85">
        <v>65</v>
      </c>
      <c r="G39" s="84">
        <v>0.35</v>
      </c>
      <c r="H39" s="83">
        <v>0.6502</v>
      </c>
      <c r="I39" s="83">
        <v>0.66349999999999998</v>
      </c>
      <c r="L39" s="85">
        <v>65</v>
      </c>
      <c r="M39" s="84">
        <v>0.35</v>
      </c>
      <c r="N39" s="83">
        <v>0.81</v>
      </c>
      <c r="O39" s="83">
        <v>0.81920000000000004</v>
      </c>
    </row>
    <row r="40" spans="1:15">
      <c r="A40" s="91">
        <v>64</v>
      </c>
      <c r="B40" s="93">
        <v>0.36</v>
      </c>
      <c r="C40" s="92">
        <v>0.70930000000000004</v>
      </c>
      <c r="D40" s="92">
        <v>0.71970000000000001</v>
      </c>
      <c r="F40" s="91">
        <v>64</v>
      </c>
      <c r="G40" s="90">
        <v>0.36</v>
      </c>
      <c r="H40" s="89">
        <v>0.66349999999999998</v>
      </c>
      <c r="I40" s="89">
        <v>0.67689999999999995</v>
      </c>
      <c r="L40" s="91">
        <v>64</v>
      </c>
      <c r="M40" s="90">
        <v>0.36</v>
      </c>
      <c r="N40" s="89">
        <v>0.81920000000000004</v>
      </c>
      <c r="O40" s="89">
        <v>0.82840000000000003</v>
      </c>
    </row>
    <row r="41" spans="1:15">
      <c r="A41" s="85">
        <v>63</v>
      </c>
      <c r="B41" s="88">
        <v>0.37</v>
      </c>
      <c r="C41" s="87">
        <v>0.71970000000000001</v>
      </c>
      <c r="D41" s="87">
        <v>0.73009999999999997</v>
      </c>
      <c r="F41" s="85">
        <v>63</v>
      </c>
      <c r="G41" s="84">
        <v>0.37</v>
      </c>
      <c r="H41" s="83">
        <v>0.67689999999999995</v>
      </c>
      <c r="I41" s="83">
        <v>0.69030000000000002</v>
      </c>
      <c r="L41" s="85">
        <v>63</v>
      </c>
      <c r="M41" s="84">
        <v>0.37</v>
      </c>
      <c r="N41" s="83">
        <v>0.82840000000000003</v>
      </c>
      <c r="O41" s="83">
        <v>0.83760000000000001</v>
      </c>
    </row>
    <row r="42" spans="1:15">
      <c r="A42" s="91">
        <v>62</v>
      </c>
      <c r="B42" s="93">
        <v>0.38</v>
      </c>
      <c r="C42" s="92">
        <v>0.73009999999999997</v>
      </c>
      <c r="D42" s="92">
        <v>0.74060000000000004</v>
      </c>
      <c r="F42" s="91">
        <v>62</v>
      </c>
      <c r="G42" s="90">
        <v>0.38</v>
      </c>
      <c r="H42" s="89">
        <v>0.69030000000000002</v>
      </c>
      <c r="I42" s="89">
        <v>0.70379999999999998</v>
      </c>
      <c r="L42" s="91">
        <v>62</v>
      </c>
      <c r="M42" s="90">
        <v>0.38</v>
      </c>
      <c r="N42" s="89">
        <v>0.83760000000000001</v>
      </c>
      <c r="O42" s="89">
        <v>0.8468</v>
      </c>
    </row>
    <row r="43" spans="1:15">
      <c r="A43" s="85">
        <v>61</v>
      </c>
      <c r="B43" s="88">
        <v>0.39</v>
      </c>
      <c r="C43" s="87">
        <v>0.74060000000000004</v>
      </c>
      <c r="D43" s="87">
        <v>0.75109999999999999</v>
      </c>
      <c r="F43" s="85">
        <v>61</v>
      </c>
      <c r="G43" s="84">
        <v>0.39</v>
      </c>
      <c r="H43" s="83">
        <v>0.70379999999999998</v>
      </c>
      <c r="I43" s="83">
        <v>0.71740000000000004</v>
      </c>
      <c r="L43" s="85">
        <v>61</v>
      </c>
      <c r="M43" s="84">
        <v>0.39</v>
      </c>
      <c r="N43" s="83">
        <v>0.8468</v>
      </c>
      <c r="O43" s="83">
        <v>0.85589999999999999</v>
      </c>
    </row>
    <row r="44" spans="1:15">
      <c r="A44" s="91">
        <v>60</v>
      </c>
      <c r="B44" s="93">
        <v>0.4</v>
      </c>
      <c r="C44" s="92">
        <v>0.75109999999999999</v>
      </c>
      <c r="D44" s="92">
        <v>0.76160000000000005</v>
      </c>
      <c r="F44" s="91">
        <v>60</v>
      </c>
      <c r="G44" s="90">
        <v>0.4</v>
      </c>
      <c r="H44" s="89">
        <v>0.71740000000000004</v>
      </c>
      <c r="I44" s="89">
        <v>0.73099999999999998</v>
      </c>
      <c r="L44" s="91">
        <v>60</v>
      </c>
      <c r="M44" s="90">
        <v>0.4</v>
      </c>
      <c r="N44" s="89">
        <v>0.85589999999999999</v>
      </c>
      <c r="O44" s="89">
        <v>0.86509999999999998</v>
      </c>
    </row>
    <row r="45" spans="1:15">
      <c r="A45" s="85">
        <v>59</v>
      </c>
      <c r="B45" s="88">
        <v>0.41</v>
      </c>
      <c r="C45" s="87">
        <v>0.76160000000000005</v>
      </c>
      <c r="D45" s="87">
        <v>0.77210000000000001</v>
      </c>
      <c r="F45" s="85">
        <v>59</v>
      </c>
      <c r="G45" s="84">
        <v>0.41</v>
      </c>
      <c r="H45" s="83">
        <v>0.73099999999999998</v>
      </c>
      <c r="I45" s="83">
        <v>0.74480000000000002</v>
      </c>
      <c r="L45" s="85">
        <v>59</v>
      </c>
      <c r="M45" s="84">
        <v>0.41</v>
      </c>
      <c r="N45" s="83">
        <v>0.86509999999999998</v>
      </c>
      <c r="O45" s="83">
        <v>0.87429999999999997</v>
      </c>
    </row>
    <row r="46" spans="1:15">
      <c r="A46" s="91">
        <v>58</v>
      </c>
      <c r="B46" s="93">
        <v>0.42</v>
      </c>
      <c r="C46" s="92">
        <v>0.77210000000000001</v>
      </c>
      <c r="D46" s="92">
        <v>0.78269999999999995</v>
      </c>
      <c r="F46" s="91">
        <v>58</v>
      </c>
      <c r="G46" s="90">
        <v>0.42</v>
      </c>
      <c r="H46" s="89">
        <v>0.74480000000000002</v>
      </c>
      <c r="I46" s="89">
        <v>0.75870000000000004</v>
      </c>
      <c r="L46" s="91">
        <v>58</v>
      </c>
      <c r="M46" s="90">
        <v>0.42</v>
      </c>
      <c r="N46" s="89">
        <v>0.87429999999999997</v>
      </c>
      <c r="O46" s="89">
        <v>0.88360000000000005</v>
      </c>
    </row>
    <row r="47" spans="1:15">
      <c r="A47" s="85">
        <v>57</v>
      </c>
      <c r="B47" s="88">
        <v>0.43</v>
      </c>
      <c r="C47" s="87">
        <v>0.78269999999999995</v>
      </c>
      <c r="D47" s="87">
        <v>0.79330000000000001</v>
      </c>
      <c r="F47" s="85">
        <v>57</v>
      </c>
      <c r="G47" s="84">
        <v>0.43</v>
      </c>
      <c r="H47" s="83">
        <v>0.75870000000000004</v>
      </c>
      <c r="I47" s="83">
        <v>0.77270000000000005</v>
      </c>
      <c r="L47" s="85">
        <v>57</v>
      </c>
      <c r="M47" s="84">
        <v>0.43</v>
      </c>
      <c r="N47" s="83">
        <v>0.88360000000000005</v>
      </c>
      <c r="O47" s="83">
        <v>0.89280000000000004</v>
      </c>
    </row>
    <row r="48" spans="1:15">
      <c r="A48" s="91">
        <v>56</v>
      </c>
      <c r="B48" s="93">
        <v>0.44</v>
      </c>
      <c r="C48" s="92">
        <v>0.79330000000000001</v>
      </c>
      <c r="D48" s="92">
        <v>0.80400000000000005</v>
      </c>
      <c r="F48" s="91">
        <v>56</v>
      </c>
      <c r="G48" s="90">
        <v>0.44</v>
      </c>
      <c r="H48" s="89">
        <v>0.77270000000000005</v>
      </c>
      <c r="I48" s="89">
        <v>0.78680000000000005</v>
      </c>
      <c r="L48" s="91">
        <v>56</v>
      </c>
      <c r="M48" s="90">
        <v>0.44</v>
      </c>
      <c r="N48" s="89">
        <v>0.89280000000000004</v>
      </c>
      <c r="O48" s="89">
        <v>0.90210000000000001</v>
      </c>
    </row>
    <row r="49" spans="1:15">
      <c r="A49" s="85">
        <v>55</v>
      </c>
      <c r="B49" s="88">
        <v>0.45</v>
      </c>
      <c r="C49" s="87">
        <v>0.80400000000000005</v>
      </c>
      <c r="D49" s="87">
        <v>0.81479999999999997</v>
      </c>
      <c r="F49" s="85">
        <v>55</v>
      </c>
      <c r="G49" s="84">
        <v>0.45</v>
      </c>
      <c r="H49" s="83">
        <v>0.78680000000000005</v>
      </c>
      <c r="I49" s="83">
        <v>0.80100000000000005</v>
      </c>
      <c r="L49" s="85">
        <v>55</v>
      </c>
      <c r="M49" s="84">
        <v>0.45</v>
      </c>
      <c r="N49" s="83">
        <v>0.90210000000000001</v>
      </c>
      <c r="O49" s="83">
        <v>0.91139999999999999</v>
      </c>
    </row>
    <row r="50" spans="1:15">
      <c r="A50" s="91">
        <v>54</v>
      </c>
      <c r="B50" s="93">
        <v>0.46</v>
      </c>
      <c r="C50" s="92">
        <v>0.81479999999999997</v>
      </c>
      <c r="D50" s="92">
        <v>0.8256</v>
      </c>
      <c r="F50" s="91">
        <v>54</v>
      </c>
      <c r="G50" s="90">
        <v>0.46</v>
      </c>
      <c r="H50" s="89">
        <v>0.80100000000000005</v>
      </c>
      <c r="I50" s="89">
        <v>0.81540000000000001</v>
      </c>
      <c r="L50" s="91">
        <v>54</v>
      </c>
      <c r="M50" s="90">
        <v>0.46</v>
      </c>
      <c r="N50" s="89">
        <v>0.91139999999999999</v>
      </c>
      <c r="O50" s="89">
        <v>0.92069999999999996</v>
      </c>
    </row>
    <row r="51" spans="1:15">
      <c r="A51" s="85">
        <v>53</v>
      </c>
      <c r="B51" s="88">
        <v>0.47</v>
      </c>
      <c r="C51" s="87">
        <v>0.8256</v>
      </c>
      <c r="D51" s="87">
        <v>0.83650000000000002</v>
      </c>
      <c r="F51" s="85">
        <v>53</v>
      </c>
      <c r="G51" s="84">
        <v>0.47</v>
      </c>
      <c r="H51" s="83">
        <v>0.81540000000000001</v>
      </c>
      <c r="I51" s="83">
        <v>0.82989999999999997</v>
      </c>
      <c r="L51" s="85">
        <v>53</v>
      </c>
      <c r="M51" s="84">
        <v>0.47</v>
      </c>
      <c r="N51" s="83">
        <v>0.92069999999999996</v>
      </c>
      <c r="O51" s="83">
        <v>0.93010000000000004</v>
      </c>
    </row>
    <row r="52" spans="1:15">
      <c r="A52" s="91">
        <v>52</v>
      </c>
      <c r="B52" s="93">
        <v>0.48</v>
      </c>
      <c r="C52" s="92">
        <v>0.83650000000000002</v>
      </c>
      <c r="D52" s="92">
        <v>0.84750000000000003</v>
      </c>
      <c r="F52" s="91">
        <v>52</v>
      </c>
      <c r="G52" s="90">
        <v>0.48</v>
      </c>
      <c r="H52" s="89">
        <v>0.82989999999999997</v>
      </c>
      <c r="I52" s="89">
        <v>0.84450000000000003</v>
      </c>
      <c r="L52" s="91">
        <v>52</v>
      </c>
      <c r="M52" s="90">
        <v>0.48</v>
      </c>
      <c r="N52" s="89">
        <v>0.93010000000000004</v>
      </c>
      <c r="O52" s="89">
        <v>0.93959999999999999</v>
      </c>
    </row>
    <row r="53" spans="1:15">
      <c r="A53" s="85">
        <v>51</v>
      </c>
      <c r="B53" s="88">
        <v>0.49</v>
      </c>
      <c r="C53" s="87">
        <v>0.84750000000000003</v>
      </c>
      <c r="D53" s="87">
        <v>0.85860000000000003</v>
      </c>
      <c r="F53" s="85">
        <v>51</v>
      </c>
      <c r="G53" s="84">
        <v>0.49</v>
      </c>
      <c r="H53" s="83">
        <v>0.84450000000000003</v>
      </c>
      <c r="I53" s="83">
        <v>0.85940000000000005</v>
      </c>
      <c r="L53" s="85">
        <v>51</v>
      </c>
      <c r="M53" s="84">
        <v>0.49</v>
      </c>
      <c r="N53" s="83">
        <v>0.93959999999999999</v>
      </c>
      <c r="O53" s="83">
        <v>0.94910000000000005</v>
      </c>
    </row>
    <row r="54" spans="1:15">
      <c r="A54" s="91">
        <v>50</v>
      </c>
      <c r="B54" s="93">
        <v>0.5</v>
      </c>
      <c r="C54" s="92">
        <v>0.85860000000000003</v>
      </c>
      <c r="D54" s="92">
        <v>0.86970000000000003</v>
      </c>
      <c r="F54" s="91">
        <v>50</v>
      </c>
      <c r="G54" s="90">
        <v>0.5</v>
      </c>
      <c r="H54" s="89">
        <v>0.85940000000000005</v>
      </c>
      <c r="I54" s="89">
        <v>0.87439999999999996</v>
      </c>
      <c r="L54" s="91">
        <v>50</v>
      </c>
      <c r="M54" s="90">
        <v>0.5</v>
      </c>
      <c r="N54" s="89">
        <v>0.94910000000000005</v>
      </c>
      <c r="O54" s="89">
        <v>0.9587</v>
      </c>
    </row>
    <row r="55" spans="1:15">
      <c r="A55" s="85">
        <v>49</v>
      </c>
      <c r="B55" s="88">
        <v>0.51</v>
      </c>
      <c r="C55" s="87">
        <v>0.86970000000000003</v>
      </c>
      <c r="D55" s="87">
        <v>0.88100000000000001</v>
      </c>
      <c r="F55" s="85">
        <v>49</v>
      </c>
      <c r="G55" s="84">
        <v>0.51</v>
      </c>
      <c r="H55" s="83">
        <v>0.87439999999999996</v>
      </c>
      <c r="I55" s="83">
        <v>0.88959999999999995</v>
      </c>
      <c r="L55" s="85">
        <v>49</v>
      </c>
      <c r="M55" s="84">
        <v>0.51</v>
      </c>
      <c r="N55" s="83">
        <v>0.9587</v>
      </c>
      <c r="O55" s="83">
        <v>0.96830000000000005</v>
      </c>
    </row>
    <row r="56" spans="1:15">
      <c r="A56" s="91">
        <v>48</v>
      </c>
      <c r="B56" s="93">
        <v>0.52</v>
      </c>
      <c r="C56" s="92">
        <v>0.88100000000000001</v>
      </c>
      <c r="D56" s="92">
        <v>0.89239999999999997</v>
      </c>
      <c r="F56" s="91">
        <v>48</v>
      </c>
      <c r="G56" s="90">
        <v>0.52</v>
      </c>
      <c r="H56" s="89">
        <v>0.88959999999999995</v>
      </c>
      <c r="I56" s="89">
        <v>0.90500000000000003</v>
      </c>
      <c r="L56" s="91">
        <v>48</v>
      </c>
      <c r="M56" s="90">
        <v>0.52</v>
      </c>
      <c r="N56" s="89">
        <v>0.96830000000000005</v>
      </c>
      <c r="O56" s="89">
        <v>0.97799999999999998</v>
      </c>
    </row>
    <row r="57" spans="1:15">
      <c r="A57" s="85">
        <v>47</v>
      </c>
      <c r="B57" s="88">
        <v>0.53</v>
      </c>
      <c r="C57" s="87">
        <v>0.89239999999999997</v>
      </c>
      <c r="D57" s="87">
        <v>0.90390000000000004</v>
      </c>
      <c r="F57" s="85">
        <v>47</v>
      </c>
      <c r="G57" s="84">
        <v>0.53</v>
      </c>
      <c r="H57" s="83">
        <v>0.90500000000000003</v>
      </c>
      <c r="I57" s="83">
        <v>0.92059999999999997</v>
      </c>
      <c r="L57" s="85">
        <v>47</v>
      </c>
      <c r="M57" s="84">
        <v>0.53</v>
      </c>
      <c r="N57" s="83">
        <v>0.97799999999999998</v>
      </c>
      <c r="O57" s="83">
        <v>0.98780000000000001</v>
      </c>
    </row>
    <row r="58" spans="1:15">
      <c r="A58" s="91">
        <v>46</v>
      </c>
      <c r="B58" s="93">
        <v>0.54</v>
      </c>
      <c r="C58" s="92">
        <v>0.90390000000000004</v>
      </c>
      <c r="D58" s="92">
        <v>0.91549999999999998</v>
      </c>
      <c r="F58" s="91">
        <v>46</v>
      </c>
      <c r="G58" s="90">
        <v>0.54</v>
      </c>
      <c r="H58" s="89">
        <v>0.92059999999999997</v>
      </c>
      <c r="I58" s="89">
        <v>0.93640000000000001</v>
      </c>
      <c r="L58" s="91">
        <v>46</v>
      </c>
      <c r="M58" s="90">
        <v>0.54</v>
      </c>
      <c r="N58" s="89">
        <v>0.98780000000000001</v>
      </c>
      <c r="O58" s="89">
        <v>0.99770000000000003</v>
      </c>
    </row>
    <row r="59" spans="1:15">
      <c r="A59" s="85">
        <v>45</v>
      </c>
      <c r="B59" s="88">
        <v>0.55000000000000004</v>
      </c>
      <c r="C59" s="87">
        <v>0.91549999999999998</v>
      </c>
      <c r="D59" s="87">
        <v>0.92730000000000001</v>
      </c>
      <c r="F59" s="85">
        <v>45</v>
      </c>
      <c r="G59" s="84">
        <v>0.55000000000000004</v>
      </c>
      <c r="H59" s="83">
        <v>0.93640000000000001</v>
      </c>
      <c r="I59" s="83">
        <v>0.95250000000000001</v>
      </c>
      <c r="L59" s="85">
        <v>45</v>
      </c>
      <c r="M59" s="84">
        <v>0.55000000000000004</v>
      </c>
      <c r="N59" s="83">
        <v>0.99770000000000003</v>
      </c>
      <c r="O59" s="83">
        <v>1.0077</v>
      </c>
    </row>
    <row r="60" spans="1:15">
      <c r="A60" s="91">
        <v>44</v>
      </c>
      <c r="B60" s="93">
        <v>0.56000000000000005</v>
      </c>
      <c r="C60" s="92">
        <v>0.92730000000000001</v>
      </c>
      <c r="D60" s="92">
        <v>0.93920000000000003</v>
      </c>
      <c r="F60" s="91">
        <v>44</v>
      </c>
      <c r="G60" s="90">
        <v>0.56000000000000005</v>
      </c>
      <c r="H60" s="89">
        <v>0.95250000000000001</v>
      </c>
      <c r="I60" s="89">
        <v>0.96879999999999999</v>
      </c>
      <c r="L60" s="91">
        <v>44</v>
      </c>
      <c r="M60" s="90">
        <v>0.56000000000000005</v>
      </c>
      <c r="N60" s="89">
        <v>1.0077</v>
      </c>
      <c r="O60" s="89">
        <v>1.0178</v>
      </c>
    </row>
    <row r="61" spans="1:15">
      <c r="A61" s="85">
        <v>43</v>
      </c>
      <c r="B61" s="88">
        <v>0.56999999999999995</v>
      </c>
      <c r="C61" s="87">
        <v>0.93920000000000003</v>
      </c>
      <c r="D61" s="87">
        <v>0.95130000000000003</v>
      </c>
      <c r="F61" s="85">
        <v>43</v>
      </c>
      <c r="G61" s="84">
        <v>0.56999999999999995</v>
      </c>
      <c r="H61" s="83">
        <v>0.96879999999999999</v>
      </c>
      <c r="I61" s="83">
        <v>0.98529999999999995</v>
      </c>
      <c r="L61" s="85">
        <v>43</v>
      </c>
      <c r="M61" s="84">
        <v>0.56999999999999995</v>
      </c>
      <c r="N61" s="83">
        <v>1.0178</v>
      </c>
      <c r="O61" s="83">
        <v>1.028</v>
      </c>
    </row>
    <row r="62" spans="1:15">
      <c r="A62" s="91">
        <v>42</v>
      </c>
      <c r="B62" s="93">
        <v>0.57999999999999996</v>
      </c>
      <c r="C62" s="92">
        <v>0.95130000000000003</v>
      </c>
      <c r="D62" s="92">
        <v>0.96360000000000001</v>
      </c>
      <c r="F62" s="91">
        <v>42</v>
      </c>
      <c r="G62" s="90">
        <v>0.57999999999999996</v>
      </c>
      <c r="H62" s="89">
        <v>0.98529999999999995</v>
      </c>
      <c r="I62" s="89">
        <v>1.0021</v>
      </c>
      <c r="L62" s="91">
        <v>42</v>
      </c>
      <c r="M62" s="90">
        <v>0.57999999999999996</v>
      </c>
      <c r="N62" s="89">
        <v>1.028</v>
      </c>
      <c r="O62" s="89">
        <v>1.0383</v>
      </c>
    </row>
    <row r="63" spans="1:15">
      <c r="A63" s="85">
        <v>41</v>
      </c>
      <c r="B63" s="88">
        <v>0.59</v>
      </c>
      <c r="C63" s="87">
        <v>0.96360000000000001</v>
      </c>
      <c r="D63" s="87">
        <v>0.97599999999999998</v>
      </c>
      <c r="F63" s="85">
        <v>41</v>
      </c>
      <c r="G63" s="84">
        <v>0.59</v>
      </c>
      <c r="H63" s="83">
        <v>1.0021</v>
      </c>
      <c r="I63" s="83">
        <v>1.0193000000000001</v>
      </c>
      <c r="L63" s="85">
        <v>41</v>
      </c>
      <c r="M63" s="84">
        <v>0.59</v>
      </c>
      <c r="N63" s="83">
        <v>1.0383</v>
      </c>
      <c r="O63" s="83">
        <v>1.0488</v>
      </c>
    </row>
    <row r="64" spans="1:15">
      <c r="A64" s="91">
        <v>40</v>
      </c>
      <c r="B64" s="93">
        <v>0.6</v>
      </c>
      <c r="C64" s="92">
        <v>0.97599999999999998</v>
      </c>
      <c r="D64" s="92">
        <v>0.98860000000000003</v>
      </c>
      <c r="F64" s="91">
        <v>40</v>
      </c>
      <c r="G64" s="90">
        <v>0.6</v>
      </c>
      <c r="H64" s="89">
        <v>1.0193000000000001</v>
      </c>
      <c r="I64" s="89">
        <v>1.0367</v>
      </c>
      <c r="L64" s="91">
        <v>40</v>
      </c>
      <c r="M64" s="90">
        <v>0.6</v>
      </c>
      <c r="N64" s="89">
        <v>1.0488</v>
      </c>
      <c r="O64" s="89">
        <v>1.0593999999999999</v>
      </c>
    </row>
    <row r="65" spans="1:15">
      <c r="A65" s="85">
        <v>39</v>
      </c>
      <c r="B65" s="88">
        <v>0.61</v>
      </c>
      <c r="C65" s="87">
        <v>0.98860000000000003</v>
      </c>
      <c r="D65" s="87">
        <v>1.0014000000000001</v>
      </c>
      <c r="F65" s="85">
        <v>39</v>
      </c>
      <c r="G65" s="84">
        <v>0.61</v>
      </c>
      <c r="H65" s="83">
        <v>1.0367</v>
      </c>
      <c r="I65" s="83">
        <v>1.0545</v>
      </c>
      <c r="L65" s="85">
        <v>39</v>
      </c>
      <c r="M65" s="84">
        <v>0.61</v>
      </c>
      <c r="N65" s="83">
        <v>1.0593999999999999</v>
      </c>
      <c r="O65" s="83">
        <v>1.0701000000000001</v>
      </c>
    </row>
    <row r="66" spans="1:15">
      <c r="A66" s="91">
        <v>38</v>
      </c>
      <c r="B66" s="93">
        <v>0.62</v>
      </c>
      <c r="C66" s="92">
        <v>1.0014000000000001</v>
      </c>
      <c r="D66" s="92">
        <v>1.0144</v>
      </c>
      <c r="F66" s="91">
        <v>38</v>
      </c>
      <c r="G66" s="90">
        <v>0.62</v>
      </c>
      <c r="H66" s="89">
        <v>1.0545</v>
      </c>
      <c r="I66" s="89">
        <v>1.0726</v>
      </c>
      <c r="L66" s="91">
        <v>38</v>
      </c>
      <c r="M66" s="90">
        <v>0.62</v>
      </c>
      <c r="N66" s="89">
        <v>1.0701000000000001</v>
      </c>
      <c r="O66" s="89">
        <v>1.081</v>
      </c>
    </row>
    <row r="67" spans="1:15">
      <c r="A67" s="85">
        <v>37</v>
      </c>
      <c r="B67" s="88">
        <v>0.63</v>
      </c>
      <c r="C67" s="87">
        <v>1.0144</v>
      </c>
      <c r="D67" s="87">
        <v>1.0277000000000001</v>
      </c>
      <c r="F67" s="85">
        <v>37</v>
      </c>
      <c r="G67" s="84">
        <v>0.63</v>
      </c>
      <c r="H67" s="83">
        <v>1.0726</v>
      </c>
      <c r="I67" s="83">
        <v>1.0911</v>
      </c>
      <c r="L67" s="85">
        <v>37</v>
      </c>
      <c r="M67" s="84">
        <v>0.63</v>
      </c>
      <c r="N67" s="83">
        <v>1.081</v>
      </c>
      <c r="O67" s="83">
        <v>1.0921000000000001</v>
      </c>
    </row>
    <row r="68" spans="1:15">
      <c r="A68" s="91">
        <v>36</v>
      </c>
      <c r="B68" s="93">
        <v>0.64</v>
      </c>
      <c r="C68" s="92">
        <v>1.0277000000000001</v>
      </c>
      <c r="D68" s="92">
        <v>1.0410999999999999</v>
      </c>
      <c r="F68" s="91">
        <v>36</v>
      </c>
      <c r="G68" s="90">
        <v>0.64</v>
      </c>
      <c r="H68" s="89">
        <v>1.0911</v>
      </c>
      <c r="I68" s="89">
        <v>1.1099000000000001</v>
      </c>
      <c r="L68" s="91">
        <v>36</v>
      </c>
      <c r="M68" s="90">
        <v>0.64</v>
      </c>
      <c r="N68" s="89">
        <v>1.0921000000000001</v>
      </c>
      <c r="O68" s="89">
        <v>1.1033999999999999</v>
      </c>
    </row>
    <row r="69" spans="1:15">
      <c r="A69" s="85">
        <v>35</v>
      </c>
      <c r="B69" s="88">
        <v>0.65</v>
      </c>
      <c r="C69" s="87">
        <v>1.0410999999999999</v>
      </c>
      <c r="D69" s="87">
        <v>1.0548999999999999</v>
      </c>
      <c r="F69" s="85">
        <v>35</v>
      </c>
      <c r="G69" s="84">
        <v>0.65</v>
      </c>
      <c r="H69" s="83">
        <v>1.1099000000000001</v>
      </c>
      <c r="I69" s="83">
        <v>1.1292</v>
      </c>
      <c r="L69" s="85">
        <v>35</v>
      </c>
      <c r="M69" s="84">
        <v>0.65</v>
      </c>
      <c r="N69" s="83">
        <v>1.1033999999999999</v>
      </c>
      <c r="O69" s="83">
        <v>1.1148</v>
      </c>
    </row>
    <row r="70" spans="1:15">
      <c r="A70" s="91">
        <v>34</v>
      </c>
      <c r="B70" s="93">
        <v>0.66</v>
      </c>
      <c r="C70" s="92">
        <v>1.0548999999999999</v>
      </c>
      <c r="D70" s="92">
        <v>1.0689</v>
      </c>
      <c r="F70" s="91">
        <v>34</v>
      </c>
      <c r="G70" s="90">
        <v>0.66</v>
      </c>
      <c r="H70" s="89">
        <v>1.1292</v>
      </c>
      <c r="I70" s="89">
        <v>1.1489</v>
      </c>
      <c r="L70" s="91">
        <v>34</v>
      </c>
      <c r="M70" s="90">
        <v>0.66</v>
      </c>
      <c r="N70" s="89">
        <v>1.1148</v>
      </c>
      <c r="O70" s="89">
        <v>1.1265000000000001</v>
      </c>
    </row>
    <row r="71" spans="1:15">
      <c r="A71" s="85">
        <v>33</v>
      </c>
      <c r="B71" s="88">
        <v>0.67</v>
      </c>
      <c r="C71" s="87">
        <v>1.0689</v>
      </c>
      <c r="D71" s="87">
        <v>1.0832999999999999</v>
      </c>
      <c r="F71" s="85">
        <v>33</v>
      </c>
      <c r="G71" s="84">
        <v>0.67</v>
      </c>
      <c r="H71" s="83">
        <v>1.1489</v>
      </c>
      <c r="I71" s="83">
        <v>1.1691</v>
      </c>
      <c r="L71" s="85">
        <v>33</v>
      </c>
      <c r="M71" s="84">
        <v>0.67</v>
      </c>
      <c r="N71" s="83">
        <v>1.1265000000000001</v>
      </c>
      <c r="O71" s="83">
        <v>1.1384000000000001</v>
      </c>
    </row>
    <row r="72" spans="1:15">
      <c r="A72" s="91">
        <v>32</v>
      </c>
      <c r="B72" s="93">
        <v>0.68</v>
      </c>
      <c r="C72" s="92">
        <v>1.0832999999999999</v>
      </c>
      <c r="D72" s="92">
        <v>1.0979000000000001</v>
      </c>
      <c r="F72" s="91">
        <v>32</v>
      </c>
      <c r="G72" s="90">
        <v>0.68</v>
      </c>
      <c r="H72" s="89">
        <v>1.1691</v>
      </c>
      <c r="I72" s="89">
        <v>1.1898</v>
      </c>
      <c r="L72" s="91">
        <v>32</v>
      </c>
      <c r="M72" s="90">
        <v>0.68</v>
      </c>
      <c r="N72" s="89">
        <v>1.1384000000000001</v>
      </c>
      <c r="O72" s="89">
        <v>1.1505000000000001</v>
      </c>
    </row>
    <row r="73" spans="1:15">
      <c r="A73" s="85">
        <v>31</v>
      </c>
      <c r="B73" s="88">
        <v>0.69</v>
      </c>
      <c r="C73" s="87">
        <v>1.0979000000000001</v>
      </c>
      <c r="D73" s="87">
        <v>1.1129</v>
      </c>
      <c r="F73" s="85">
        <v>31</v>
      </c>
      <c r="G73" s="84">
        <v>0.69</v>
      </c>
      <c r="H73" s="83">
        <v>1.1898</v>
      </c>
      <c r="I73" s="83">
        <v>1.2111000000000001</v>
      </c>
      <c r="L73" s="85">
        <v>31</v>
      </c>
      <c r="M73" s="84">
        <v>0.69</v>
      </c>
      <c r="N73" s="83">
        <v>1.1505000000000001</v>
      </c>
      <c r="O73" s="83">
        <v>1.1629</v>
      </c>
    </row>
    <row r="74" spans="1:15">
      <c r="A74" s="91">
        <v>30</v>
      </c>
      <c r="B74" s="93">
        <v>0.7</v>
      </c>
      <c r="C74" s="92">
        <v>1.1129</v>
      </c>
      <c r="D74" s="92">
        <v>1.1282000000000001</v>
      </c>
      <c r="F74" s="91">
        <v>30</v>
      </c>
      <c r="G74" s="90">
        <v>0.7</v>
      </c>
      <c r="H74" s="89">
        <v>1.2111000000000001</v>
      </c>
      <c r="I74" s="89">
        <v>1.2329000000000001</v>
      </c>
      <c r="L74" s="91">
        <v>30</v>
      </c>
      <c r="M74" s="90">
        <v>0.7</v>
      </c>
      <c r="N74" s="89">
        <v>1.1629</v>
      </c>
      <c r="O74" s="89">
        <v>1.1755</v>
      </c>
    </row>
    <row r="75" spans="1:15">
      <c r="A75" s="85">
        <v>29</v>
      </c>
      <c r="B75" s="88">
        <v>0.71</v>
      </c>
      <c r="C75" s="87">
        <v>1.1282000000000001</v>
      </c>
      <c r="D75" s="87">
        <v>1.1439999999999999</v>
      </c>
      <c r="F75" s="85">
        <v>29</v>
      </c>
      <c r="G75" s="84">
        <v>0.71</v>
      </c>
      <c r="H75" s="83">
        <v>1.2329000000000001</v>
      </c>
      <c r="I75" s="83">
        <v>1.2553000000000001</v>
      </c>
      <c r="L75" s="85">
        <v>29</v>
      </c>
      <c r="M75" s="84">
        <v>0.71</v>
      </c>
      <c r="N75" s="83">
        <v>1.1755</v>
      </c>
      <c r="O75" s="83">
        <v>1.1884999999999999</v>
      </c>
    </row>
    <row r="76" spans="1:15">
      <c r="A76" s="91">
        <v>28</v>
      </c>
      <c r="B76" s="93">
        <v>0.72</v>
      </c>
      <c r="C76" s="92">
        <v>1.1439999999999999</v>
      </c>
      <c r="D76" s="92">
        <v>1.1600999999999999</v>
      </c>
      <c r="F76" s="91">
        <v>28</v>
      </c>
      <c r="G76" s="90">
        <v>0.72</v>
      </c>
      <c r="H76" s="89">
        <v>1.2553000000000001</v>
      </c>
      <c r="I76" s="89">
        <v>1.2784</v>
      </c>
      <c r="L76" s="91">
        <v>28</v>
      </c>
      <c r="M76" s="90">
        <v>0.72</v>
      </c>
      <c r="N76" s="89">
        <v>1.1884999999999999</v>
      </c>
      <c r="O76" s="89">
        <v>1.2018</v>
      </c>
    </row>
    <row r="77" spans="1:15">
      <c r="A77" s="85">
        <v>27</v>
      </c>
      <c r="B77" s="88">
        <v>0.73</v>
      </c>
      <c r="C77" s="87">
        <v>1.1600999999999999</v>
      </c>
      <c r="D77" s="87">
        <v>1.1767000000000001</v>
      </c>
      <c r="F77" s="85">
        <v>27</v>
      </c>
      <c r="G77" s="84">
        <v>0.73</v>
      </c>
      <c r="H77" s="83">
        <v>1.2784</v>
      </c>
      <c r="I77" s="83">
        <v>1.3022</v>
      </c>
      <c r="L77" s="85">
        <v>27</v>
      </c>
      <c r="M77" s="84">
        <v>0.73</v>
      </c>
      <c r="N77" s="83">
        <v>1.2018</v>
      </c>
      <c r="O77" s="83">
        <v>1.2154</v>
      </c>
    </row>
    <row r="78" spans="1:15">
      <c r="A78" s="91">
        <v>26</v>
      </c>
      <c r="B78" s="93">
        <v>0.74</v>
      </c>
      <c r="C78" s="92">
        <v>1.1767000000000001</v>
      </c>
      <c r="D78" s="92">
        <v>1.1939</v>
      </c>
      <c r="F78" s="91">
        <v>26</v>
      </c>
      <c r="G78" s="90">
        <v>0.74</v>
      </c>
      <c r="H78" s="89">
        <v>1.3022</v>
      </c>
      <c r="I78" s="89">
        <v>1.3268</v>
      </c>
      <c r="L78" s="91">
        <v>26</v>
      </c>
      <c r="M78" s="90">
        <v>0.74</v>
      </c>
      <c r="N78" s="89">
        <v>1.2154</v>
      </c>
      <c r="O78" s="89">
        <v>1.2294</v>
      </c>
    </row>
    <row r="79" spans="1:15">
      <c r="A79" s="85">
        <v>25</v>
      </c>
      <c r="B79" s="88">
        <v>0.75</v>
      </c>
      <c r="C79" s="87">
        <v>1.1939</v>
      </c>
      <c r="D79" s="87">
        <v>1.2115</v>
      </c>
      <c r="F79" s="85">
        <v>25</v>
      </c>
      <c r="G79" s="84">
        <v>0.75</v>
      </c>
      <c r="H79" s="83">
        <v>1.3268</v>
      </c>
      <c r="I79" s="83">
        <v>1.3522000000000001</v>
      </c>
      <c r="L79" s="85">
        <v>25</v>
      </c>
      <c r="M79" s="84">
        <v>0.75</v>
      </c>
      <c r="N79" s="83">
        <v>1.2294</v>
      </c>
      <c r="O79" s="83">
        <v>1.2439</v>
      </c>
    </row>
    <row r="80" spans="1:15">
      <c r="A80" s="91">
        <v>24</v>
      </c>
      <c r="B80" s="93">
        <v>0.76</v>
      </c>
      <c r="C80" s="92">
        <v>1.2115</v>
      </c>
      <c r="D80" s="92">
        <v>1.2297</v>
      </c>
      <c r="F80" s="91">
        <v>24</v>
      </c>
      <c r="G80" s="90">
        <v>0.76</v>
      </c>
      <c r="H80" s="89">
        <v>1.3522000000000001</v>
      </c>
      <c r="I80" s="89">
        <v>1.3786</v>
      </c>
      <c r="L80" s="91">
        <v>24</v>
      </c>
      <c r="M80" s="90">
        <v>0.76</v>
      </c>
      <c r="N80" s="89">
        <v>1.2439</v>
      </c>
      <c r="O80" s="89">
        <v>1.2586999999999999</v>
      </c>
    </row>
    <row r="81" spans="1:15">
      <c r="A81" s="85">
        <v>23</v>
      </c>
      <c r="B81" s="88">
        <v>0.77</v>
      </c>
      <c r="C81" s="87">
        <v>1.2297</v>
      </c>
      <c r="D81" s="87">
        <v>1.2485999999999999</v>
      </c>
      <c r="F81" s="85">
        <v>23</v>
      </c>
      <c r="G81" s="84">
        <v>0.77</v>
      </c>
      <c r="H81" s="83">
        <v>1.3786</v>
      </c>
      <c r="I81" s="83">
        <v>1.4058999999999999</v>
      </c>
      <c r="L81" s="85">
        <v>23</v>
      </c>
      <c r="M81" s="84">
        <v>0.77</v>
      </c>
      <c r="N81" s="83">
        <v>1.2586999999999999</v>
      </c>
      <c r="O81" s="83">
        <v>1.2741</v>
      </c>
    </row>
    <row r="82" spans="1:15">
      <c r="A82" s="91">
        <v>22</v>
      </c>
      <c r="B82" s="93">
        <v>0.78</v>
      </c>
      <c r="C82" s="92">
        <v>1.2485999999999999</v>
      </c>
      <c r="D82" s="92">
        <v>1.2681</v>
      </c>
      <c r="F82" s="91">
        <v>22</v>
      </c>
      <c r="G82" s="90">
        <v>0.78</v>
      </c>
      <c r="H82" s="89">
        <v>1.4058999999999999</v>
      </c>
      <c r="I82" s="89">
        <v>1.4342999999999999</v>
      </c>
      <c r="L82" s="91">
        <v>22</v>
      </c>
      <c r="M82" s="90">
        <v>0.78</v>
      </c>
      <c r="N82" s="89">
        <v>1.2741</v>
      </c>
      <c r="O82" s="89">
        <v>1.29</v>
      </c>
    </row>
    <row r="83" spans="1:15">
      <c r="A83" s="85">
        <v>21</v>
      </c>
      <c r="B83" s="88">
        <v>0.79</v>
      </c>
      <c r="C83" s="87">
        <v>1.2681</v>
      </c>
      <c r="D83" s="87">
        <v>1.2884</v>
      </c>
      <c r="F83" s="85">
        <v>21</v>
      </c>
      <c r="G83" s="84">
        <v>0.79</v>
      </c>
      <c r="H83" s="83">
        <v>1.4342999999999999</v>
      </c>
      <c r="I83" s="83">
        <v>1.4639</v>
      </c>
      <c r="L83" s="85">
        <v>21</v>
      </c>
      <c r="M83" s="84">
        <v>0.79</v>
      </c>
      <c r="N83" s="83">
        <v>1.29</v>
      </c>
      <c r="O83" s="83">
        <v>1.3064</v>
      </c>
    </row>
    <row r="84" spans="1:15">
      <c r="A84" s="91">
        <v>20</v>
      </c>
      <c r="B84" s="93">
        <v>0.8</v>
      </c>
      <c r="C84" s="92">
        <v>1.2884</v>
      </c>
      <c r="D84" s="92">
        <v>1.3096000000000001</v>
      </c>
      <c r="F84" s="91">
        <v>20</v>
      </c>
      <c r="G84" s="90">
        <v>0.8</v>
      </c>
      <c r="H84" s="89">
        <v>1.4639</v>
      </c>
      <c r="I84" s="89">
        <v>1.4947999999999999</v>
      </c>
      <c r="L84" s="91">
        <v>20</v>
      </c>
      <c r="M84" s="90">
        <v>0.8</v>
      </c>
      <c r="N84" s="89">
        <v>1.3064</v>
      </c>
      <c r="O84" s="89">
        <v>1.3236000000000001</v>
      </c>
    </row>
    <row r="85" spans="1:15">
      <c r="A85" s="85">
        <v>19</v>
      </c>
      <c r="B85" s="88">
        <v>0.81</v>
      </c>
      <c r="C85" s="87">
        <v>1.3096000000000001</v>
      </c>
      <c r="D85" s="87">
        <v>1.3317000000000001</v>
      </c>
      <c r="F85" s="85">
        <v>19</v>
      </c>
      <c r="G85" s="84">
        <v>0.81</v>
      </c>
      <c r="H85" s="83">
        <v>1.4947999999999999</v>
      </c>
      <c r="I85" s="83">
        <v>1.5271999999999999</v>
      </c>
      <c r="L85" s="85">
        <v>19</v>
      </c>
      <c r="M85" s="84">
        <v>0.81</v>
      </c>
      <c r="N85" s="83">
        <v>1.3236000000000001</v>
      </c>
      <c r="O85" s="83">
        <v>1.3413999999999999</v>
      </c>
    </row>
    <row r="86" spans="1:15">
      <c r="A86" s="91">
        <v>18</v>
      </c>
      <c r="B86" s="93">
        <v>0.82</v>
      </c>
      <c r="C86" s="92">
        <v>1.3317000000000001</v>
      </c>
      <c r="D86" s="92">
        <v>1.3548</v>
      </c>
      <c r="F86" s="91">
        <v>18</v>
      </c>
      <c r="G86" s="90">
        <v>0.82</v>
      </c>
      <c r="H86" s="89">
        <v>1.5271999999999999</v>
      </c>
      <c r="I86" s="89">
        <v>1.5611999999999999</v>
      </c>
      <c r="L86" s="91">
        <v>18</v>
      </c>
      <c r="M86" s="90">
        <v>0.82</v>
      </c>
      <c r="N86" s="89">
        <v>1.3413999999999999</v>
      </c>
      <c r="O86" s="89">
        <v>1.36</v>
      </c>
    </row>
    <row r="87" spans="1:15">
      <c r="A87" s="85">
        <v>17</v>
      </c>
      <c r="B87" s="88">
        <v>0.83</v>
      </c>
      <c r="C87" s="87">
        <v>1.3548</v>
      </c>
      <c r="D87" s="87">
        <v>1.3791</v>
      </c>
      <c r="F87" s="85">
        <v>17</v>
      </c>
      <c r="G87" s="84">
        <v>0.83</v>
      </c>
      <c r="H87" s="83">
        <v>1.5611999999999999</v>
      </c>
      <c r="I87" s="83">
        <v>1.597</v>
      </c>
      <c r="L87" s="85">
        <v>17</v>
      </c>
      <c r="M87" s="84">
        <v>0.83</v>
      </c>
      <c r="N87" s="83">
        <v>1.36</v>
      </c>
      <c r="O87" s="83">
        <v>1.3795999999999999</v>
      </c>
    </row>
    <row r="88" spans="1:15">
      <c r="A88" s="91">
        <v>16</v>
      </c>
      <c r="B88" s="93">
        <v>0.84</v>
      </c>
      <c r="C88" s="92">
        <v>1.3791</v>
      </c>
      <c r="D88" s="92">
        <v>1.4047000000000001</v>
      </c>
      <c r="F88" s="91">
        <v>16</v>
      </c>
      <c r="G88" s="90">
        <v>0.84</v>
      </c>
      <c r="H88" s="89">
        <v>1.597</v>
      </c>
      <c r="I88" s="89">
        <v>1.6349</v>
      </c>
      <c r="L88" s="91">
        <v>16</v>
      </c>
      <c r="M88" s="90">
        <v>0.84</v>
      </c>
      <c r="N88" s="89">
        <v>1.3795999999999999</v>
      </c>
      <c r="O88" s="89">
        <v>1.4000999999999999</v>
      </c>
    </row>
    <row r="89" spans="1:15">
      <c r="A89" s="85">
        <v>15</v>
      </c>
      <c r="B89" s="88">
        <v>0.85</v>
      </c>
      <c r="C89" s="87">
        <v>1.4047000000000001</v>
      </c>
      <c r="D89" s="87">
        <v>1.4318</v>
      </c>
      <c r="F89" s="85">
        <v>15</v>
      </c>
      <c r="G89" s="84">
        <v>0.85</v>
      </c>
      <c r="H89" s="83">
        <v>1.6349</v>
      </c>
      <c r="I89" s="83">
        <v>1.6751</v>
      </c>
      <c r="L89" s="85">
        <v>15</v>
      </c>
      <c r="M89" s="84">
        <v>0.85</v>
      </c>
      <c r="N89" s="83">
        <v>1.4000999999999999</v>
      </c>
      <c r="O89" s="83">
        <v>1.4218</v>
      </c>
    </row>
    <row r="90" spans="1:15">
      <c r="A90" s="91">
        <v>14</v>
      </c>
      <c r="B90" s="93">
        <v>0.86</v>
      </c>
      <c r="C90" s="92">
        <v>1.4318</v>
      </c>
      <c r="D90" s="92">
        <v>1.4605999999999999</v>
      </c>
      <c r="F90" s="91">
        <v>14</v>
      </c>
      <c r="G90" s="90">
        <v>0.86</v>
      </c>
      <c r="H90" s="89">
        <v>1.6751</v>
      </c>
      <c r="I90" s="89">
        <v>1.7179</v>
      </c>
      <c r="L90" s="91">
        <v>14</v>
      </c>
      <c r="M90" s="90">
        <v>0.86</v>
      </c>
      <c r="N90" s="89">
        <v>1.4218</v>
      </c>
      <c r="O90" s="89">
        <v>1.4448000000000001</v>
      </c>
    </row>
    <row r="91" spans="1:15">
      <c r="A91" s="85">
        <v>13</v>
      </c>
      <c r="B91" s="88">
        <v>0.87</v>
      </c>
      <c r="C91" s="87">
        <v>1.4605999999999999</v>
      </c>
      <c r="D91" s="87">
        <v>1.4913000000000001</v>
      </c>
      <c r="F91" s="85">
        <v>13</v>
      </c>
      <c r="G91" s="84">
        <v>0.87</v>
      </c>
      <c r="H91" s="83">
        <v>1.7179</v>
      </c>
      <c r="I91" s="83">
        <v>1.7639</v>
      </c>
      <c r="L91" s="85">
        <v>13</v>
      </c>
      <c r="M91" s="84">
        <v>0.87</v>
      </c>
      <c r="N91" s="83">
        <v>1.4448000000000001</v>
      </c>
      <c r="O91" s="83">
        <v>1.4693000000000001</v>
      </c>
    </row>
    <row r="92" spans="1:15">
      <c r="A92" s="91">
        <v>12</v>
      </c>
      <c r="B92" s="93">
        <v>0.88</v>
      </c>
      <c r="C92" s="92">
        <v>1.4913000000000001</v>
      </c>
      <c r="D92" s="92">
        <v>1.5244</v>
      </c>
      <c r="F92" s="91">
        <v>12</v>
      </c>
      <c r="G92" s="90">
        <v>0.88</v>
      </c>
      <c r="H92" s="89">
        <v>1.7639</v>
      </c>
      <c r="I92" s="89">
        <v>1.8134999999999999</v>
      </c>
      <c r="L92" s="91">
        <v>12</v>
      </c>
      <c r="M92" s="90">
        <v>0.88</v>
      </c>
      <c r="N92" s="89">
        <v>1.4693000000000001</v>
      </c>
      <c r="O92" s="89">
        <v>1.4956</v>
      </c>
    </row>
    <row r="93" spans="1:15">
      <c r="A93" s="85">
        <v>11</v>
      </c>
      <c r="B93" s="88">
        <v>0.89</v>
      </c>
      <c r="C93" s="87">
        <v>1.5244</v>
      </c>
      <c r="D93" s="87">
        <v>1.5602</v>
      </c>
      <c r="F93" s="85">
        <v>11</v>
      </c>
      <c r="G93" s="84">
        <v>0.89</v>
      </c>
      <c r="H93" s="83">
        <v>1.8134999999999999</v>
      </c>
      <c r="I93" s="83">
        <v>1.8673999999999999</v>
      </c>
      <c r="L93" s="85">
        <v>11</v>
      </c>
      <c r="M93" s="84">
        <v>0.89</v>
      </c>
      <c r="N93" s="83">
        <v>1.4956</v>
      </c>
      <c r="O93" s="83">
        <v>1.5239</v>
      </c>
    </row>
    <row r="94" spans="1:15">
      <c r="A94" s="91">
        <v>10</v>
      </c>
      <c r="B94" s="93">
        <v>0.9</v>
      </c>
      <c r="C94" s="92">
        <v>1.5602</v>
      </c>
      <c r="D94" s="92">
        <v>1.5993999999999999</v>
      </c>
      <c r="F94" s="91">
        <v>10</v>
      </c>
      <c r="G94" s="90">
        <v>0.9</v>
      </c>
      <c r="H94" s="89">
        <v>1.8673999999999999</v>
      </c>
      <c r="I94" s="89">
        <v>1.9265000000000001</v>
      </c>
      <c r="L94" s="91">
        <v>10</v>
      </c>
      <c r="M94" s="90">
        <v>0.9</v>
      </c>
      <c r="N94" s="89">
        <v>1.5239</v>
      </c>
      <c r="O94" s="89">
        <v>1.5548999999999999</v>
      </c>
    </row>
    <row r="95" spans="1:15">
      <c r="A95" s="85">
        <v>9</v>
      </c>
      <c r="B95" s="88">
        <v>0.91</v>
      </c>
      <c r="C95" s="87">
        <v>1.5993999999999999</v>
      </c>
      <c r="D95" s="87">
        <v>1.6426000000000001</v>
      </c>
      <c r="F95" s="85">
        <v>9</v>
      </c>
      <c r="G95" s="84">
        <v>0.91</v>
      </c>
      <c r="H95" s="83">
        <v>1.9265000000000001</v>
      </c>
      <c r="I95" s="83">
        <v>1.9921</v>
      </c>
      <c r="L95" s="85">
        <v>9</v>
      </c>
      <c r="M95" s="84">
        <v>0.91</v>
      </c>
      <c r="N95" s="83">
        <v>1.5548999999999999</v>
      </c>
      <c r="O95" s="83">
        <v>1.5889</v>
      </c>
    </row>
    <row r="96" spans="1:15">
      <c r="A96" s="91">
        <v>8</v>
      </c>
      <c r="B96" s="93">
        <v>0.92</v>
      </c>
      <c r="C96" s="92">
        <v>1.6426000000000001</v>
      </c>
      <c r="D96" s="92">
        <v>1.6910000000000001</v>
      </c>
      <c r="F96" s="91">
        <v>8</v>
      </c>
      <c r="G96" s="90">
        <v>0.92</v>
      </c>
      <c r="H96" s="89">
        <v>1.9921</v>
      </c>
      <c r="I96" s="89">
        <v>2.0657999999999999</v>
      </c>
      <c r="L96" s="91">
        <v>8</v>
      </c>
      <c r="M96" s="90">
        <v>0.92</v>
      </c>
      <c r="N96" s="89">
        <v>1.5889</v>
      </c>
      <c r="O96" s="89">
        <v>1.627</v>
      </c>
    </row>
    <row r="97" spans="1:15">
      <c r="A97" s="85">
        <v>7</v>
      </c>
      <c r="B97" s="88">
        <v>0.93</v>
      </c>
      <c r="C97" s="87">
        <v>1.6910000000000001</v>
      </c>
      <c r="D97" s="87">
        <v>1.7461</v>
      </c>
      <c r="F97" s="85">
        <v>7</v>
      </c>
      <c r="G97" s="84">
        <v>0.93</v>
      </c>
      <c r="H97" s="83">
        <v>2.0657999999999999</v>
      </c>
      <c r="I97" s="83">
        <v>2.1501000000000001</v>
      </c>
      <c r="L97" s="85">
        <v>7</v>
      </c>
      <c r="M97" s="84">
        <v>0.93</v>
      </c>
      <c r="N97" s="83">
        <v>1.627</v>
      </c>
      <c r="O97" s="83">
        <v>1.6700999999999999</v>
      </c>
    </row>
    <row r="98" spans="1:15">
      <c r="A98" s="91">
        <v>6</v>
      </c>
      <c r="B98" s="93">
        <v>0.94</v>
      </c>
      <c r="C98" s="92">
        <v>1.7461</v>
      </c>
      <c r="D98" s="92">
        <v>1.8104</v>
      </c>
      <c r="F98" s="91">
        <v>6</v>
      </c>
      <c r="G98" s="90">
        <v>0.94</v>
      </c>
      <c r="H98" s="89">
        <v>2.1501000000000001</v>
      </c>
      <c r="I98" s="89">
        <v>2.2488000000000001</v>
      </c>
      <c r="L98" s="91">
        <v>6</v>
      </c>
      <c r="M98" s="90">
        <v>0.94</v>
      </c>
      <c r="N98" s="89">
        <v>1.6700999999999999</v>
      </c>
      <c r="O98" s="89">
        <v>1.7201</v>
      </c>
    </row>
    <row r="99" spans="1:15">
      <c r="A99" s="85">
        <v>5</v>
      </c>
      <c r="B99" s="88">
        <v>0.95</v>
      </c>
      <c r="C99" s="87">
        <v>1.8104</v>
      </c>
      <c r="D99" s="87">
        <v>1.8876999999999999</v>
      </c>
      <c r="F99" s="85">
        <v>5</v>
      </c>
      <c r="G99" s="84">
        <v>0.95</v>
      </c>
      <c r="H99" s="83">
        <v>2.2488000000000001</v>
      </c>
      <c r="I99" s="83">
        <v>2.3683000000000001</v>
      </c>
      <c r="L99" s="85">
        <v>5</v>
      </c>
      <c r="M99" s="84">
        <v>0.95</v>
      </c>
      <c r="N99" s="83">
        <v>1.7201</v>
      </c>
      <c r="O99" s="83">
        <v>1.7802</v>
      </c>
    </row>
    <row r="100" spans="1:15">
      <c r="A100" s="91">
        <v>4</v>
      </c>
      <c r="B100" s="93">
        <v>0.96</v>
      </c>
      <c r="C100" s="92">
        <v>1.8876999999999999</v>
      </c>
      <c r="D100" s="92">
        <v>1.9855</v>
      </c>
      <c r="F100" s="91">
        <v>4</v>
      </c>
      <c r="G100" s="90">
        <v>0.96</v>
      </c>
      <c r="H100" s="89">
        <v>2.3683000000000001</v>
      </c>
      <c r="I100" s="89">
        <v>2.5205000000000002</v>
      </c>
      <c r="L100" s="91">
        <v>4</v>
      </c>
      <c r="M100" s="90">
        <v>0.96</v>
      </c>
      <c r="N100" s="89">
        <v>1.7802</v>
      </c>
      <c r="O100" s="89">
        <v>1.8557999999999999</v>
      </c>
    </row>
    <row r="101" spans="1:15">
      <c r="A101" s="85">
        <v>3</v>
      </c>
      <c r="B101" s="88">
        <v>0.97</v>
      </c>
      <c r="C101" s="87">
        <v>1.9855</v>
      </c>
      <c r="D101" s="87">
        <v>2.1204999999999998</v>
      </c>
      <c r="F101" s="85">
        <v>3</v>
      </c>
      <c r="G101" s="84">
        <v>0.97</v>
      </c>
      <c r="H101" s="83">
        <v>2.5205000000000002</v>
      </c>
      <c r="I101" s="83">
        <v>2.7320000000000002</v>
      </c>
      <c r="L101" s="85">
        <v>3</v>
      </c>
      <c r="M101" s="84">
        <v>0.97</v>
      </c>
      <c r="N101" s="83">
        <v>1.8557999999999999</v>
      </c>
      <c r="O101" s="83">
        <v>1.9594</v>
      </c>
    </row>
    <row r="102" spans="1:15">
      <c r="A102" s="91">
        <v>2</v>
      </c>
      <c r="B102" s="93">
        <v>0.98</v>
      </c>
      <c r="C102" s="92">
        <v>2.1204999999999998</v>
      </c>
      <c r="D102" s="92">
        <v>2.3443999999999998</v>
      </c>
      <c r="F102" s="91">
        <v>2</v>
      </c>
      <c r="G102" s="90">
        <v>0.98</v>
      </c>
      <c r="H102" s="89">
        <v>2.7320000000000002</v>
      </c>
      <c r="I102" s="89">
        <v>3.0868000000000002</v>
      </c>
      <c r="L102" s="91">
        <v>2</v>
      </c>
      <c r="M102" s="90">
        <v>0.98</v>
      </c>
      <c r="N102" s="89">
        <v>1.9594</v>
      </c>
      <c r="O102" s="89">
        <v>2.1299000000000001</v>
      </c>
    </row>
    <row r="103" spans="1:15">
      <c r="A103" s="85">
        <v>1</v>
      </c>
      <c r="B103" s="88">
        <v>0.99</v>
      </c>
      <c r="C103" s="87">
        <v>2.3443999999999998</v>
      </c>
      <c r="D103" s="86" t="s">
        <v>190</v>
      </c>
      <c r="F103" s="85">
        <v>1</v>
      </c>
      <c r="G103" s="84">
        <v>0.99</v>
      </c>
      <c r="H103" s="83">
        <v>3.0868000000000002</v>
      </c>
      <c r="I103" s="82" t="s">
        <v>189</v>
      </c>
      <c r="L103" s="85">
        <v>1</v>
      </c>
      <c r="M103" s="84">
        <v>0.99</v>
      </c>
      <c r="N103" s="83">
        <v>2.1299000000000001</v>
      </c>
      <c r="O103" s="82" t="s">
        <v>188</v>
      </c>
    </row>
  </sheetData>
  <mergeCells count="6">
    <mergeCell ref="N2:O2"/>
    <mergeCell ref="A2:A3"/>
    <mergeCell ref="C2:D2"/>
    <mergeCell ref="F2:F3"/>
    <mergeCell ref="H2:I2"/>
    <mergeCell ref="L2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B2ACB-DEFA-4A5D-A1B3-0D0C3C520225}">
  <sheetPr codeName="Sheet5"/>
  <dimension ref="A2:E103"/>
  <sheetViews>
    <sheetView workbookViewId="0">
      <selection activeCell="C4" sqref="C4"/>
    </sheetView>
  </sheetViews>
  <sheetFormatPr defaultRowHeight="14.5"/>
  <cols>
    <col min="3" max="3" width="5.81640625" customWidth="1"/>
    <col min="4" max="4" width="10.453125" customWidth="1"/>
    <col min="5" max="5" width="10.81640625" customWidth="1"/>
  </cols>
  <sheetData>
    <row r="2" spans="1:5" ht="23">
      <c r="A2" s="382" t="s">
        <v>195</v>
      </c>
      <c r="B2" s="98" t="s">
        <v>194</v>
      </c>
      <c r="C2" t="s">
        <v>223</v>
      </c>
      <c r="D2" t="s">
        <v>232</v>
      </c>
      <c r="E2" t="s">
        <v>220</v>
      </c>
    </row>
    <row r="3" spans="1:5">
      <c r="A3" s="382"/>
      <c r="B3" s="98"/>
      <c r="C3" s="97" t="s">
        <v>192</v>
      </c>
      <c r="D3" s="96" t="s">
        <v>192</v>
      </c>
      <c r="E3" s="94" t="s">
        <v>192</v>
      </c>
    </row>
    <row r="4" spans="1:5">
      <c r="A4" s="91">
        <v>100</v>
      </c>
      <c r="B4" s="93">
        <v>0</v>
      </c>
      <c r="C4" s="92">
        <v>0</v>
      </c>
      <c r="D4" s="89">
        <v>0</v>
      </c>
      <c r="E4" s="89">
        <v>0</v>
      </c>
    </row>
    <row r="5" spans="1:5">
      <c r="A5" s="85">
        <v>99</v>
      </c>
      <c r="B5" s="88">
        <v>0.01</v>
      </c>
      <c r="C5" s="87">
        <v>0.19320000000000001</v>
      </c>
      <c r="D5" s="83">
        <v>9.9599999999999994E-2</v>
      </c>
      <c r="E5" s="83">
        <v>0.31580000000000003</v>
      </c>
    </row>
    <row r="6" spans="1:5">
      <c r="A6" s="91">
        <v>98</v>
      </c>
      <c r="B6" s="93">
        <v>0.02</v>
      </c>
      <c r="C6" s="92">
        <v>0.2384</v>
      </c>
      <c r="D6" s="89">
        <v>0.13739999999999999</v>
      </c>
      <c r="E6" s="89">
        <v>0.3664</v>
      </c>
    </row>
    <row r="7" spans="1:5">
      <c r="A7" s="85">
        <v>97</v>
      </c>
      <c r="B7" s="88">
        <v>0.03</v>
      </c>
      <c r="C7" s="87">
        <v>0.27079999999999999</v>
      </c>
      <c r="D7" s="83">
        <v>0.16650000000000001</v>
      </c>
      <c r="E7" s="83">
        <v>0.40150000000000002</v>
      </c>
    </row>
    <row r="8" spans="1:5">
      <c r="A8" s="91">
        <v>96</v>
      </c>
      <c r="B8" s="93">
        <v>0.04</v>
      </c>
      <c r="C8" s="92">
        <v>0.29730000000000001</v>
      </c>
      <c r="D8" s="89">
        <v>0.1915</v>
      </c>
      <c r="E8" s="89">
        <v>0.4294</v>
      </c>
    </row>
    <row r="9" spans="1:5">
      <c r="A9" s="85">
        <v>95</v>
      </c>
      <c r="B9" s="88">
        <v>0.05</v>
      </c>
      <c r="C9" s="87">
        <v>0.32019999999999998</v>
      </c>
      <c r="D9" s="83">
        <v>0.21379999999999999</v>
      </c>
      <c r="E9" s="83">
        <v>0.4531</v>
      </c>
    </row>
    <row r="10" spans="1:5">
      <c r="A10" s="91">
        <v>94</v>
      </c>
      <c r="B10" s="93">
        <v>0.06</v>
      </c>
      <c r="C10" s="92">
        <v>0.3407</v>
      </c>
      <c r="D10" s="89">
        <v>0.23419999999999999</v>
      </c>
      <c r="E10" s="89">
        <v>0.47399999999999998</v>
      </c>
    </row>
    <row r="11" spans="1:5">
      <c r="A11" s="85">
        <v>93</v>
      </c>
      <c r="B11" s="88">
        <v>7.0000000000000007E-2</v>
      </c>
      <c r="C11" s="87">
        <v>0.35949999999999999</v>
      </c>
      <c r="D11" s="83">
        <v>0.25340000000000001</v>
      </c>
      <c r="E11" s="83">
        <v>0.49280000000000002</v>
      </c>
    </row>
    <row r="12" spans="1:5">
      <c r="A12" s="91">
        <v>92</v>
      </c>
      <c r="B12" s="93">
        <v>0.08</v>
      </c>
      <c r="C12" s="92">
        <v>0.37690000000000001</v>
      </c>
      <c r="D12" s="89">
        <v>0.27150000000000002</v>
      </c>
      <c r="E12" s="89">
        <v>0.51019999999999999</v>
      </c>
    </row>
    <row r="13" spans="1:5">
      <c r="A13" s="85">
        <v>91</v>
      </c>
      <c r="B13" s="88">
        <v>0.09</v>
      </c>
      <c r="C13" s="87">
        <v>0.39319999999999999</v>
      </c>
      <c r="D13" s="83">
        <v>0.2888</v>
      </c>
      <c r="E13" s="83">
        <v>0.52629999999999999</v>
      </c>
    </row>
    <row r="14" spans="1:5">
      <c r="A14" s="91">
        <v>90</v>
      </c>
      <c r="B14" s="93">
        <v>0.1</v>
      </c>
      <c r="C14" s="92">
        <v>0.40870000000000001</v>
      </c>
      <c r="D14" s="89">
        <v>0.3054</v>
      </c>
      <c r="E14" s="89">
        <v>0.54149999999999998</v>
      </c>
    </row>
    <row r="15" spans="1:5">
      <c r="A15" s="85">
        <v>89</v>
      </c>
      <c r="B15" s="88">
        <v>0.11</v>
      </c>
      <c r="C15" s="87">
        <v>0.4234</v>
      </c>
      <c r="D15" s="83">
        <v>0.32150000000000001</v>
      </c>
      <c r="E15" s="83">
        <v>0.55589999999999995</v>
      </c>
    </row>
    <row r="16" spans="1:5">
      <c r="A16" s="91">
        <v>88</v>
      </c>
      <c r="B16" s="93">
        <v>0.12</v>
      </c>
      <c r="C16" s="92">
        <v>0.43759999999999999</v>
      </c>
      <c r="D16" s="89">
        <v>0.33710000000000001</v>
      </c>
      <c r="E16" s="89">
        <v>0.5696</v>
      </c>
    </row>
    <row r="17" spans="1:5">
      <c r="A17" s="85">
        <v>87</v>
      </c>
      <c r="B17" s="88">
        <v>0.13</v>
      </c>
      <c r="C17" s="87">
        <v>0.45129999999999998</v>
      </c>
      <c r="D17" s="83">
        <v>0.3523</v>
      </c>
      <c r="E17" s="83">
        <v>0.5827</v>
      </c>
    </row>
    <row r="18" spans="1:5">
      <c r="A18" s="91">
        <v>86</v>
      </c>
      <c r="B18" s="93">
        <v>0.14000000000000001</v>
      </c>
      <c r="C18" s="92">
        <v>0.46460000000000001</v>
      </c>
      <c r="D18" s="89">
        <v>0.36720000000000003</v>
      </c>
      <c r="E18" s="89">
        <v>0.59540000000000004</v>
      </c>
    </row>
    <row r="19" spans="1:5">
      <c r="A19" s="85">
        <v>85</v>
      </c>
      <c r="B19" s="88">
        <v>0.15</v>
      </c>
      <c r="C19" s="87">
        <v>0.47739999999999999</v>
      </c>
      <c r="D19" s="83">
        <v>0.38179999999999997</v>
      </c>
      <c r="E19" s="83">
        <v>0.60760000000000003</v>
      </c>
    </row>
    <row r="20" spans="1:5">
      <c r="A20" s="91">
        <v>84</v>
      </c>
      <c r="B20" s="93">
        <v>0.16</v>
      </c>
      <c r="C20" s="92">
        <v>0.49</v>
      </c>
      <c r="D20" s="89">
        <v>0.39610000000000001</v>
      </c>
      <c r="E20" s="89">
        <v>0.61950000000000005</v>
      </c>
    </row>
    <row r="21" spans="1:5">
      <c r="A21" s="85">
        <v>83</v>
      </c>
      <c r="B21" s="88">
        <v>0.17</v>
      </c>
      <c r="C21" s="87">
        <v>0.50219999999999998</v>
      </c>
      <c r="D21" s="83">
        <v>0.41020000000000001</v>
      </c>
      <c r="E21" s="83">
        <v>0.63100000000000001</v>
      </c>
    </row>
    <row r="22" spans="1:5">
      <c r="A22" s="91">
        <v>82</v>
      </c>
      <c r="B22" s="93">
        <v>0.18</v>
      </c>
      <c r="C22" s="92">
        <v>0.51419999999999999</v>
      </c>
      <c r="D22" s="89">
        <v>0.42420000000000002</v>
      </c>
      <c r="E22" s="89">
        <v>0.64219999999999999</v>
      </c>
    </row>
    <row r="23" spans="1:5">
      <c r="A23" s="85">
        <v>81</v>
      </c>
      <c r="B23" s="88">
        <v>0.19</v>
      </c>
      <c r="C23" s="87">
        <v>0.52600000000000002</v>
      </c>
      <c r="D23" s="83">
        <v>0.438</v>
      </c>
      <c r="E23" s="83">
        <v>0.6532</v>
      </c>
    </row>
    <row r="24" spans="1:5">
      <c r="A24" s="91">
        <v>80</v>
      </c>
      <c r="B24" s="93">
        <v>0.2</v>
      </c>
      <c r="C24" s="92">
        <v>0.53759999999999997</v>
      </c>
      <c r="D24" s="89">
        <v>0.4516</v>
      </c>
      <c r="E24" s="89">
        <v>0.66400000000000003</v>
      </c>
    </row>
    <row r="25" spans="1:5">
      <c r="A25" s="85">
        <v>79</v>
      </c>
      <c r="B25" s="88">
        <v>0.21</v>
      </c>
      <c r="C25" s="87">
        <v>0.54900000000000004</v>
      </c>
      <c r="D25" s="83">
        <v>0.4652</v>
      </c>
      <c r="E25" s="83">
        <v>0.67459999999999998</v>
      </c>
    </row>
    <row r="26" spans="1:5">
      <c r="A26" s="91">
        <v>78</v>
      </c>
      <c r="B26" s="93">
        <v>0.22</v>
      </c>
      <c r="C26" s="92">
        <v>0.56030000000000002</v>
      </c>
      <c r="D26" s="89">
        <v>0.47860000000000003</v>
      </c>
      <c r="E26" s="89">
        <v>0.68489999999999995</v>
      </c>
    </row>
    <row r="27" spans="1:5">
      <c r="A27" s="85">
        <v>77</v>
      </c>
      <c r="B27" s="88">
        <v>0.23</v>
      </c>
      <c r="C27" s="87">
        <v>0.57140000000000002</v>
      </c>
      <c r="D27" s="83">
        <v>0.49199999999999999</v>
      </c>
      <c r="E27" s="83">
        <v>0.69510000000000005</v>
      </c>
    </row>
    <row r="28" spans="1:5">
      <c r="A28" s="91">
        <v>76</v>
      </c>
      <c r="B28" s="93">
        <v>0.24</v>
      </c>
      <c r="C28" s="92">
        <v>0.58240000000000003</v>
      </c>
      <c r="D28" s="89">
        <v>0.50529999999999997</v>
      </c>
      <c r="E28" s="89">
        <v>0.70520000000000005</v>
      </c>
    </row>
    <row r="29" spans="1:5">
      <c r="A29" s="85">
        <v>75</v>
      </c>
      <c r="B29" s="88">
        <v>0.25</v>
      </c>
      <c r="C29" s="87">
        <v>0.59330000000000005</v>
      </c>
      <c r="D29" s="83">
        <v>0.51849999999999996</v>
      </c>
      <c r="E29" s="83">
        <v>0.71519999999999995</v>
      </c>
    </row>
    <row r="30" spans="1:5">
      <c r="A30" s="91">
        <v>74</v>
      </c>
      <c r="B30" s="93">
        <v>0.26</v>
      </c>
      <c r="C30" s="92">
        <v>0.60409999999999997</v>
      </c>
      <c r="D30" s="89">
        <v>0.53169999999999995</v>
      </c>
      <c r="E30" s="89">
        <v>0.72499999999999998</v>
      </c>
    </row>
    <row r="31" spans="1:5">
      <c r="A31" s="85">
        <v>73</v>
      </c>
      <c r="B31" s="88">
        <v>0.27</v>
      </c>
      <c r="C31" s="87">
        <v>0.61480000000000001</v>
      </c>
      <c r="D31" s="83">
        <v>0.54490000000000005</v>
      </c>
      <c r="E31" s="83">
        <v>0.73470000000000002</v>
      </c>
    </row>
    <row r="32" spans="1:5">
      <c r="A32" s="91">
        <v>72</v>
      </c>
      <c r="B32" s="93">
        <v>0.28000000000000003</v>
      </c>
      <c r="C32" s="92">
        <v>0.62549999999999994</v>
      </c>
      <c r="D32" s="89">
        <v>0.55800000000000005</v>
      </c>
      <c r="E32" s="89">
        <v>0.74429999999999996</v>
      </c>
    </row>
    <row r="33" spans="1:5">
      <c r="A33" s="85">
        <v>71</v>
      </c>
      <c r="B33" s="88">
        <v>0.28999999999999998</v>
      </c>
      <c r="C33" s="87">
        <v>0.6361</v>
      </c>
      <c r="D33" s="83">
        <v>0.57110000000000005</v>
      </c>
      <c r="E33" s="83">
        <v>0.75390000000000001</v>
      </c>
    </row>
    <row r="34" spans="1:5">
      <c r="A34" s="91">
        <v>70</v>
      </c>
      <c r="B34" s="93">
        <v>0.3</v>
      </c>
      <c r="C34" s="92">
        <v>0.64659999999999995</v>
      </c>
      <c r="D34" s="89">
        <v>0.58430000000000004</v>
      </c>
      <c r="E34" s="89">
        <v>0.76339999999999997</v>
      </c>
    </row>
    <row r="35" spans="1:5">
      <c r="A35" s="85">
        <v>69</v>
      </c>
      <c r="B35" s="88">
        <v>0.31</v>
      </c>
      <c r="C35" s="87">
        <v>0.65710000000000002</v>
      </c>
      <c r="D35" s="83">
        <v>0.59740000000000004</v>
      </c>
      <c r="E35" s="83">
        <v>0.77280000000000004</v>
      </c>
    </row>
    <row r="36" spans="1:5">
      <c r="A36" s="91">
        <v>68</v>
      </c>
      <c r="B36" s="93">
        <v>0.32</v>
      </c>
      <c r="C36" s="92">
        <v>0.66759999999999997</v>
      </c>
      <c r="D36" s="89">
        <v>0.61050000000000004</v>
      </c>
      <c r="E36" s="89">
        <v>0.78210000000000002</v>
      </c>
    </row>
    <row r="37" spans="1:5">
      <c r="A37" s="85">
        <v>67</v>
      </c>
      <c r="B37" s="88">
        <v>0.33</v>
      </c>
      <c r="C37" s="87">
        <v>0.67800000000000005</v>
      </c>
      <c r="D37" s="83">
        <v>0.62370000000000003</v>
      </c>
      <c r="E37" s="83">
        <v>0.79149999999999998</v>
      </c>
    </row>
    <row r="38" spans="1:5">
      <c r="A38" s="91">
        <v>66</v>
      </c>
      <c r="B38" s="93">
        <v>0.34</v>
      </c>
      <c r="C38" s="92">
        <v>0.68840000000000001</v>
      </c>
      <c r="D38" s="89">
        <v>0.63690000000000002</v>
      </c>
      <c r="E38" s="89">
        <v>0.80069999999999997</v>
      </c>
    </row>
    <row r="39" spans="1:5">
      <c r="A39" s="85">
        <v>65</v>
      </c>
      <c r="B39" s="88">
        <v>0.35</v>
      </c>
      <c r="C39" s="87">
        <v>0.69889999999999997</v>
      </c>
      <c r="D39" s="83">
        <v>0.6502</v>
      </c>
      <c r="E39" s="83">
        <v>0.81</v>
      </c>
    </row>
    <row r="40" spans="1:5">
      <c r="A40" s="91">
        <v>64</v>
      </c>
      <c r="B40" s="93">
        <v>0.36</v>
      </c>
      <c r="C40" s="92">
        <v>0.70930000000000004</v>
      </c>
      <c r="D40" s="89">
        <v>0.66349999999999998</v>
      </c>
      <c r="E40" s="89">
        <v>0.81920000000000004</v>
      </c>
    </row>
    <row r="41" spans="1:5">
      <c r="A41" s="85">
        <v>63</v>
      </c>
      <c r="B41" s="88">
        <v>0.37</v>
      </c>
      <c r="C41" s="87">
        <v>0.71970000000000001</v>
      </c>
      <c r="D41" s="83">
        <v>0.67689999999999995</v>
      </c>
      <c r="E41" s="83">
        <v>0.82840000000000003</v>
      </c>
    </row>
    <row r="42" spans="1:5">
      <c r="A42" s="91">
        <v>62</v>
      </c>
      <c r="B42" s="93">
        <v>0.38</v>
      </c>
      <c r="C42" s="92">
        <v>0.73009999999999997</v>
      </c>
      <c r="D42" s="89">
        <v>0.69030000000000002</v>
      </c>
      <c r="E42" s="89">
        <v>0.83760000000000001</v>
      </c>
    </row>
    <row r="43" spans="1:5">
      <c r="A43" s="85">
        <v>61</v>
      </c>
      <c r="B43" s="88">
        <v>0.39</v>
      </c>
      <c r="C43" s="87">
        <v>0.74060000000000004</v>
      </c>
      <c r="D43" s="83">
        <v>0.70379999999999998</v>
      </c>
      <c r="E43" s="83">
        <v>0.8468</v>
      </c>
    </row>
    <row r="44" spans="1:5">
      <c r="A44" s="91">
        <v>60</v>
      </c>
      <c r="B44" s="93">
        <v>0.4</v>
      </c>
      <c r="C44" s="92">
        <v>0.75109999999999999</v>
      </c>
      <c r="D44" s="89">
        <v>0.71740000000000004</v>
      </c>
      <c r="E44" s="89">
        <v>0.85589999999999999</v>
      </c>
    </row>
    <row r="45" spans="1:5">
      <c r="A45" s="85">
        <v>59</v>
      </c>
      <c r="B45" s="88">
        <v>0.41</v>
      </c>
      <c r="C45" s="87">
        <v>0.76160000000000005</v>
      </c>
      <c r="D45" s="83">
        <v>0.73099999999999998</v>
      </c>
      <c r="E45" s="83">
        <v>0.86509999999999998</v>
      </c>
    </row>
    <row r="46" spans="1:5">
      <c r="A46" s="91">
        <v>58</v>
      </c>
      <c r="B46" s="93">
        <v>0.42</v>
      </c>
      <c r="C46" s="92">
        <v>0.77210000000000001</v>
      </c>
      <c r="D46" s="89">
        <v>0.74480000000000002</v>
      </c>
      <c r="E46" s="89">
        <v>0.87429999999999997</v>
      </c>
    </row>
    <row r="47" spans="1:5">
      <c r="A47" s="85">
        <v>57</v>
      </c>
      <c r="B47" s="88">
        <v>0.43</v>
      </c>
      <c r="C47" s="87">
        <v>0.78269999999999995</v>
      </c>
      <c r="D47" s="83">
        <v>0.75870000000000004</v>
      </c>
      <c r="E47" s="83">
        <v>0.88360000000000005</v>
      </c>
    </row>
    <row r="48" spans="1:5">
      <c r="A48" s="91">
        <v>56</v>
      </c>
      <c r="B48" s="93">
        <v>0.44</v>
      </c>
      <c r="C48" s="92">
        <v>0.79330000000000001</v>
      </c>
      <c r="D48" s="89">
        <v>0.77270000000000005</v>
      </c>
      <c r="E48" s="89">
        <v>0.89280000000000004</v>
      </c>
    </row>
    <row r="49" spans="1:5">
      <c r="A49" s="85">
        <v>55</v>
      </c>
      <c r="B49" s="88">
        <v>0.45</v>
      </c>
      <c r="C49" s="87">
        <v>0.80400000000000005</v>
      </c>
      <c r="D49" s="83">
        <v>0.78680000000000005</v>
      </c>
      <c r="E49" s="83">
        <v>0.90210000000000001</v>
      </c>
    </row>
    <row r="50" spans="1:5">
      <c r="A50" s="91">
        <v>54</v>
      </c>
      <c r="B50" s="93">
        <v>0.46</v>
      </c>
      <c r="C50" s="92">
        <v>0.81479999999999997</v>
      </c>
      <c r="D50" s="89">
        <v>0.80100000000000005</v>
      </c>
      <c r="E50" s="89">
        <v>0.91139999999999999</v>
      </c>
    </row>
    <row r="51" spans="1:5">
      <c r="A51" s="85">
        <v>53</v>
      </c>
      <c r="B51" s="88">
        <v>0.47</v>
      </c>
      <c r="C51" s="87">
        <v>0.8256</v>
      </c>
      <c r="D51" s="83">
        <v>0.81540000000000001</v>
      </c>
      <c r="E51" s="83">
        <v>0.92069999999999996</v>
      </c>
    </row>
    <row r="52" spans="1:5">
      <c r="A52" s="91">
        <v>52</v>
      </c>
      <c r="B52" s="93">
        <v>0.48</v>
      </c>
      <c r="C52" s="92">
        <v>0.83650000000000002</v>
      </c>
      <c r="D52" s="89">
        <v>0.82989999999999997</v>
      </c>
      <c r="E52" s="89">
        <v>0.93010000000000004</v>
      </c>
    </row>
    <row r="53" spans="1:5">
      <c r="A53" s="85">
        <v>51</v>
      </c>
      <c r="B53" s="88">
        <v>0.49</v>
      </c>
      <c r="C53" s="87">
        <v>0.84750000000000003</v>
      </c>
      <c r="D53" s="83">
        <v>0.84450000000000003</v>
      </c>
      <c r="E53" s="83">
        <v>0.93959999999999999</v>
      </c>
    </row>
    <row r="54" spans="1:5">
      <c r="A54" s="91">
        <v>50</v>
      </c>
      <c r="B54" s="93">
        <v>0.5</v>
      </c>
      <c r="C54" s="92">
        <v>0.85860000000000003</v>
      </c>
      <c r="D54" s="89">
        <v>0.85940000000000005</v>
      </c>
      <c r="E54" s="89">
        <v>0.94910000000000005</v>
      </c>
    </row>
    <row r="55" spans="1:5">
      <c r="A55" s="85">
        <v>49</v>
      </c>
      <c r="B55" s="88">
        <v>0.51</v>
      </c>
      <c r="C55" s="87">
        <v>0.86970000000000003</v>
      </c>
      <c r="D55" s="83">
        <v>0.87439999999999996</v>
      </c>
      <c r="E55" s="83">
        <v>0.9587</v>
      </c>
    </row>
    <row r="56" spans="1:5">
      <c r="A56" s="91">
        <v>48</v>
      </c>
      <c r="B56" s="93">
        <v>0.52</v>
      </c>
      <c r="C56" s="92">
        <v>0.88100000000000001</v>
      </c>
      <c r="D56" s="89">
        <v>0.88959999999999995</v>
      </c>
      <c r="E56" s="89">
        <v>0.96830000000000005</v>
      </c>
    </row>
    <row r="57" spans="1:5">
      <c r="A57" s="85">
        <v>47</v>
      </c>
      <c r="B57" s="88">
        <v>0.53</v>
      </c>
      <c r="C57" s="87">
        <v>0.89239999999999997</v>
      </c>
      <c r="D57" s="83">
        <v>0.90500000000000003</v>
      </c>
      <c r="E57" s="83">
        <v>0.97799999999999998</v>
      </c>
    </row>
    <row r="58" spans="1:5">
      <c r="A58" s="91">
        <v>46</v>
      </c>
      <c r="B58" s="93">
        <v>0.54</v>
      </c>
      <c r="C58" s="92">
        <v>0.90390000000000004</v>
      </c>
      <c r="D58" s="89">
        <v>0.92059999999999997</v>
      </c>
      <c r="E58" s="89">
        <v>0.98780000000000001</v>
      </c>
    </row>
    <row r="59" spans="1:5">
      <c r="A59" s="85">
        <v>45</v>
      </c>
      <c r="B59" s="88">
        <v>0.55000000000000004</v>
      </c>
      <c r="C59" s="87">
        <v>0.91549999999999998</v>
      </c>
      <c r="D59" s="83">
        <v>0.93640000000000001</v>
      </c>
      <c r="E59" s="83">
        <v>0.99770000000000003</v>
      </c>
    </row>
    <row r="60" spans="1:5">
      <c r="A60" s="91">
        <v>44</v>
      </c>
      <c r="B60" s="93">
        <v>0.56000000000000005</v>
      </c>
      <c r="C60" s="92">
        <v>0.92730000000000001</v>
      </c>
      <c r="D60" s="89">
        <v>0.95250000000000001</v>
      </c>
      <c r="E60" s="89">
        <v>1.0077</v>
      </c>
    </row>
    <row r="61" spans="1:5">
      <c r="A61" s="85">
        <v>43</v>
      </c>
      <c r="B61" s="88">
        <v>0.56999999999999995</v>
      </c>
      <c r="C61" s="87">
        <v>0.93920000000000003</v>
      </c>
      <c r="D61" s="83">
        <v>0.96879999999999999</v>
      </c>
      <c r="E61" s="83">
        <v>1.0178</v>
      </c>
    </row>
    <row r="62" spans="1:5">
      <c r="A62" s="91">
        <v>42</v>
      </c>
      <c r="B62" s="93">
        <v>0.57999999999999996</v>
      </c>
      <c r="C62" s="92">
        <v>0.95130000000000003</v>
      </c>
      <c r="D62" s="89">
        <v>0.98529999999999995</v>
      </c>
      <c r="E62" s="89">
        <v>1.028</v>
      </c>
    </row>
    <row r="63" spans="1:5">
      <c r="A63" s="85">
        <v>41</v>
      </c>
      <c r="B63" s="88">
        <v>0.59</v>
      </c>
      <c r="C63" s="87">
        <v>0.96360000000000001</v>
      </c>
      <c r="D63" s="83">
        <v>1.0021</v>
      </c>
      <c r="E63" s="83">
        <v>1.0383</v>
      </c>
    </row>
    <row r="64" spans="1:5">
      <c r="A64" s="91">
        <v>40</v>
      </c>
      <c r="B64" s="93">
        <v>0.6</v>
      </c>
      <c r="C64" s="92">
        <v>0.97599999999999998</v>
      </c>
      <c r="D64" s="89">
        <v>1.0193000000000001</v>
      </c>
      <c r="E64" s="89">
        <v>1.0488</v>
      </c>
    </row>
    <row r="65" spans="1:5">
      <c r="A65" s="85">
        <v>39</v>
      </c>
      <c r="B65" s="88">
        <v>0.61</v>
      </c>
      <c r="C65" s="87">
        <v>0.98860000000000003</v>
      </c>
      <c r="D65" s="83">
        <v>1.0367</v>
      </c>
      <c r="E65" s="83">
        <v>1.0593999999999999</v>
      </c>
    </row>
    <row r="66" spans="1:5">
      <c r="A66" s="91">
        <v>38</v>
      </c>
      <c r="B66" s="93">
        <v>0.62</v>
      </c>
      <c r="C66" s="92">
        <v>1.0014000000000001</v>
      </c>
      <c r="D66" s="89">
        <v>1.0545</v>
      </c>
      <c r="E66" s="89">
        <v>1.0701000000000001</v>
      </c>
    </row>
    <row r="67" spans="1:5">
      <c r="A67" s="85">
        <v>37</v>
      </c>
      <c r="B67" s="88">
        <v>0.63</v>
      </c>
      <c r="C67" s="87">
        <v>1.0144</v>
      </c>
      <c r="D67" s="83">
        <v>1.0726</v>
      </c>
      <c r="E67" s="83">
        <v>1.081</v>
      </c>
    </row>
    <row r="68" spans="1:5">
      <c r="A68" s="91">
        <v>36</v>
      </c>
      <c r="B68" s="93">
        <v>0.64</v>
      </c>
      <c r="C68" s="92">
        <v>1.0277000000000001</v>
      </c>
      <c r="D68" s="89">
        <v>1.0911</v>
      </c>
      <c r="E68" s="89">
        <v>1.0921000000000001</v>
      </c>
    </row>
    <row r="69" spans="1:5">
      <c r="A69" s="85">
        <v>35</v>
      </c>
      <c r="B69" s="88">
        <v>0.65</v>
      </c>
      <c r="C69" s="87">
        <v>1.0410999999999999</v>
      </c>
      <c r="D69" s="83">
        <v>1.1099000000000001</v>
      </c>
      <c r="E69" s="83">
        <v>1.1033999999999999</v>
      </c>
    </row>
    <row r="70" spans="1:5">
      <c r="A70" s="91">
        <v>34</v>
      </c>
      <c r="B70" s="93">
        <v>0.66</v>
      </c>
      <c r="C70" s="92">
        <v>1.0548999999999999</v>
      </c>
      <c r="D70" s="89">
        <v>1.1292</v>
      </c>
      <c r="E70" s="89">
        <v>1.1148</v>
      </c>
    </row>
    <row r="71" spans="1:5">
      <c r="A71" s="85">
        <v>33</v>
      </c>
      <c r="B71" s="88">
        <v>0.67</v>
      </c>
      <c r="C71" s="87">
        <v>1.0689</v>
      </c>
      <c r="D71" s="83">
        <v>1.1489</v>
      </c>
      <c r="E71" s="83">
        <v>1.1265000000000001</v>
      </c>
    </row>
    <row r="72" spans="1:5">
      <c r="A72" s="91">
        <v>32</v>
      </c>
      <c r="B72" s="93">
        <v>0.68</v>
      </c>
      <c r="C72" s="92">
        <v>1.0832999999999999</v>
      </c>
      <c r="D72" s="89">
        <v>1.1691</v>
      </c>
      <c r="E72" s="89">
        <v>1.1384000000000001</v>
      </c>
    </row>
    <row r="73" spans="1:5">
      <c r="A73" s="85">
        <v>31</v>
      </c>
      <c r="B73" s="88">
        <v>0.69</v>
      </c>
      <c r="C73" s="87">
        <v>1.0979000000000001</v>
      </c>
      <c r="D73" s="83">
        <v>1.1898</v>
      </c>
      <c r="E73" s="83">
        <v>1.1505000000000001</v>
      </c>
    </row>
    <row r="74" spans="1:5">
      <c r="A74" s="91">
        <v>30</v>
      </c>
      <c r="B74" s="93">
        <v>0.7</v>
      </c>
      <c r="C74" s="92">
        <v>1.1129</v>
      </c>
      <c r="D74" s="89">
        <v>1.2111000000000001</v>
      </c>
      <c r="E74" s="89">
        <v>1.1629</v>
      </c>
    </row>
    <row r="75" spans="1:5">
      <c r="A75" s="85">
        <v>29</v>
      </c>
      <c r="B75" s="88">
        <v>0.71</v>
      </c>
      <c r="C75" s="87">
        <v>1.1282000000000001</v>
      </c>
      <c r="D75" s="83">
        <v>1.2329000000000001</v>
      </c>
      <c r="E75" s="83">
        <v>1.1755</v>
      </c>
    </row>
    <row r="76" spans="1:5">
      <c r="A76" s="91">
        <v>28</v>
      </c>
      <c r="B76" s="93">
        <v>0.72</v>
      </c>
      <c r="C76" s="92">
        <v>1.1439999999999999</v>
      </c>
      <c r="D76" s="89">
        <v>1.2553000000000001</v>
      </c>
      <c r="E76" s="89">
        <v>1.1884999999999999</v>
      </c>
    </row>
    <row r="77" spans="1:5">
      <c r="A77" s="85">
        <v>27</v>
      </c>
      <c r="B77" s="88">
        <v>0.73</v>
      </c>
      <c r="C77" s="87">
        <v>1.1600999999999999</v>
      </c>
      <c r="D77" s="83">
        <v>1.2784</v>
      </c>
      <c r="E77" s="83">
        <v>1.2018</v>
      </c>
    </row>
    <row r="78" spans="1:5">
      <c r="A78" s="91">
        <v>26</v>
      </c>
      <c r="B78" s="93">
        <v>0.74</v>
      </c>
      <c r="C78" s="92">
        <v>1.1767000000000001</v>
      </c>
      <c r="D78" s="89">
        <v>1.3022</v>
      </c>
      <c r="E78" s="89">
        <v>1.2154</v>
      </c>
    </row>
    <row r="79" spans="1:5">
      <c r="A79" s="85">
        <v>25</v>
      </c>
      <c r="B79" s="88">
        <v>0.75</v>
      </c>
      <c r="C79" s="87">
        <v>1.1939</v>
      </c>
      <c r="D79" s="83">
        <v>1.3268</v>
      </c>
      <c r="E79" s="83">
        <v>1.2294</v>
      </c>
    </row>
    <row r="80" spans="1:5">
      <c r="A80" s="91">
        <v>24</v>
      </c>
      <c r="B80" s="93">
        <v>0.76</v>
      </c>
      <c r="C80" s="92">
        <v>1.2115</v>
      </c>
      <c r="D80" s="89">
        <v>1.3522000000000001</v>
      </c>
      <c r="E80" s="89">
        <v>1.2439</v>
      </c>
    </row>
    <row r="81" spans="1:5">
      <c r="A81" s="85">
        <v>23</v>
      </c>
      <c r="B81" s="88">
        <v>0.77</v>
      </c>
      <c r="C81" s="87">
        <v>1.2297</v>
      </c>
      <c r="D81" s="83">
        <v>1.3786</v>
      </c>
      <c r="E81" s="83">
        <v>1.2586999999999999</v>
      </c>
    </row>
    <row r="82" spans="1:5">
      <c r="A82" s="91">
        <v>22</v>
      </c>
      <c r="B82" s="93">
        <v>0.78</v>
      </c>
      <c r="C82" s="92">
        <v>1.2485999999999999</v>
      </c>
      <c r="D82" s="89">
        <v>1.4058999999999999</v>
      </c>
      <c r="E82" s="89">
        <v>1.2741</v>
      </c>
    </row>
    <row r="83" spans="1:5">
      <c r="A83" s="85">
        <v>21</v>
      </c>
      <c r="B83" s="88">
        <v>0.79</v>
      </c>
      <c r="C83" s="87">
        <v>1.2681</v>
      </c>
      <c r="D83" s="83">
        <v>1.4342999999999999</v>
      </c>
      <c r="E83" s="83">
        <v>1.29</v>
      </c>
    </row>
    <row r="84" spans="1:5">
      <c r="A84" s="91">
        <v>20</v>
      </c>
      <c r="B84" s="93">
        <v>0.8</v>
      </c>
      <c r="C84" s="92">
        <v>1.2884</v>
      </c>
      <c r="D84" s="89">
        <v>1.4639</v>
      </c>
      <c r="E84" s="89">
        <v>1.3064</v>
      </c>
    </row>
    <row r="85" spans="1:5">
      <c r="A85" s="85">
        <v>19</v>
      </c>
      <c r="B85" s="88">
        <v>0.81</v>
      </c>
      <c r="C85" s="87">
        <v>1.3096000000000001</v>
      </c>
      <c r="D85" s="83">
        <v>1.4947999999999999</v>
      </c>
      <c r="E85" s="83">
        <v>1.3236000000000001</v>
      </c>
    </row>
    <row r="86" spans="1:5">
      <c r="A86" s="91">
        <v>18</v>
      </c>
      <c r="B86" s="93">
        <v>0.82</v>
      </c>
      <c r="C86" s="92">
        <v>1.3317000000000001</v>
      </c>
      <c r="D86" s="89">
        <v>1.5271999999999999</v>
      </c>
      <c r="E86" s="89">
        <v>1.3413999999999999</v>
      </c>
    </row>
    <row r="87" spans="1:5">
      <c r="A87" s="85">
        <v>17</v>
      </c>
      <c r="B87" s="88">
        <v>0.83</v>
      </c>
      <c r="C87" s="87">
        <v>1.3548</v>
      </c>
      <c r="D87" s="83">
        <v>1.5611999999999999</v>
      </c>
      <c r="E87" s="83">
        <v>1.36</v>
      </c>
    </row>
    <row r="88" spans="1:5">
      <c r="A88" s="91">
        <v>16</v>
      </c>
      <c r="B88" s="93">
        <v>0.84</v>
      </c>
      <c r="C88" s="92">
        <v>1.3791</v>
      </c>
      <c r="D88" s="89">
        <v>1.597</v>
      </c>
      <c r="E88" s="89">
        <v>1.3795999999999999</v>
      </c>
    </row>
    <row r="89" spans="1:5">
      <c r="A89" s="85">
        <v>15</v>
      </c>
      <c r="B89" s="88">
        <v>0.85</v>
      </c>
      <c r="C89" s="87">
        <v>1.4047000000000001</v>
      </c>
      <c r="D89" s="83">
        <v>1.6349</v>
      </c>
      <c r="E89" s="83">
        <v>1.4000999999999999</v>
      </c>
    </row>
    <row r="90" spans="1:5">
      <c r="A90" s="91">
        <v>14</v>
      </c>
      <c r="B90" s="93">
        <v>0.86</v>
      </c>
      <c r="C90" s="92">
        <v>1.4318</v>
      </c>
      <c r="D90" s="89">
        <v>1.6751</v>
      </c>
      <c r="E90" s="89">
        <v>1.4218</v>
      </c>
    </row>
    <row r="91" spans="1:5">
      <c r="A91" s="85">
        <v>13</v>
      </c>
      <c r="B91" s="88">
        <v>0.87</v>
      </c>
      <c r="C91" s="87">
        <v>1.4605999999999999</v>
      </c>
      <c r="D91" s="83">
        <v>1.7179</v>
      </c>
      <c r="E91" s="83">
        <v>1.4448000000000001</v>
      </c>
    </row>
    <row r="92" spans="1:5">
      <c r="A92" s="91">
        <v>12</v>
      </c>
      <c r="B92" s="93">
        <v>0.88</v>
      </c>
      <c r="C92" s="92">
        <v>1.4913000000000001</v>
      </c>
      <c r="D92" s="89">
        <v>1.7639</v>
      </c>
      <c r="E92" s="89">
        <v>1.4693000000000001</v>
      </c>
    </row>
    <row r="93" spans="1:5">
      <c r="A93" s="85">
        <v>11</v>
      </c>
      <c r="B93" s="88">
        <v>0.89</v>
      </c>
      <c r="C93" s="87">
        <v>1.5244</v>
      </c>
      <c r="D93" s="83">
        <v>1.8134999999999999</v>
      </c>
      <c r="E93" s="83">
        <v>1.4956</v>
      </c>
    </row>
    <row r="94" spans="1:5">
      <c r="A94" s="91">
        <v>10</v>
      </c>
      <c r="B94" s="93">
        <v>0.9</v>
      </c>
      <c r="C94" s="92">
        <v>1.5602</v>
      </c>
      <c r="D94" s="89">
        <v>1.8673999999999999</v>
      </c>
      <c r="E94" s="89">
        <v>1.5239</v>
      </c>
    </row>
    <row r="95" spans="1:5">
      <c r="A95" s="85">
        <v>9</v>
      </c>
      <c r="B95" s="88">
        <v>0.91</v>
      </c>
      <c r="C95" s="87">
        <v>1.5993999999999999</v>
      </c>
      <c r="D95" s="83">
        <v>1.9265000000000001</v>
      </c>
      <c r="E95" s="83">
        <v>1.5548999999999999</v>
      </c>
    </row>
    <row r="96" spans="1:5">
      <c r="A96" s="91">
        <v>8</v>
      </c>
      <c r="B96" s="93">
        <v>0.92</v>
      </c>
      <c r="C96" s="92">
        <v>1.6426000000000001</v>
      </c>
      <c r="D96" s="89">
        <v>1.9921</v>
      </c>
      <c r="E96" s="89">
        <v>1.5889</v>
      </c>
    </row>
    <row r="97" spans="1:5">
      <c r="A97" s="85">
        <v>7</v>
      </c>
      <c r="B97" s="88">
        <v>0.93</v>
      </c>
      <c r="C97" s="87">
        <v>1.6910000000000001</v>
      </c>
      <c r="D97" s="83">
        <v>2.0657999999999999</v>
      </c>
      <c r="E97" s="83">
        <v>1.627</v>
      </c>
    </row>
    <row r="98" spans="1:5">
      <c r="A98" s="91">
        <v>6</v>
      </c>
      <c r="B98" s="93">
        <v>0.94</v>
      </c>
      <c r="C98" s="92">
        <v>1.7461</v>
      </c>
      <c r="D98" s="89">
        <v>2.1501000000000001</v>
      </c>
      <c r="E98" s="89">
        <v>1.6700999999999999</v>
      </c>
    </row>
    <row r="99" spans="1:5">
      <c r="A99" s="85">
        <v>5</v>
      </c>
      <c r="B99" s="88">
        <v>0.95</v>
      </c>
      <c r="C99" s="87">
        <v>1.8104</v>
      </c>
      <c r="D99" s="83">
        <v>2.2488000000000001</v>
      </c>
      <c r="E99" s="83">
        <v>1.7201</v>
      </c>
    </row>
    <row r="100" spans="1:5">
      <c r="A100" s="91">
        <v>4</v>
      </c>
      <c r="B100" s="93">
        <v>0.96</v>
      </c>
      <c r="C100" s="92">
        <v>1.8876999999999999</v>
      </c>
      <c r="D100" s="89">
        <v>2.3683000000000001</v>
      </c>
      <c r="E100" s="89">
        <v>1.7802</v>
      </c>
    </row>
    <row r="101" spans="1:5">
      <c r="A101" s="85">
        <v>3</v>
      </c>
      <c r="B101" s="88">
        <v>0.97</v>
      </c>
      <c r="C101" s="87">
        <v>1.9855</v>
      </c>
      <c r="D101" s="83">
        <v>2.5205000000000002</v>
      </c>
      <c r="E101" s="83">
        <v>1.8557999999999999</v>
      </c>
    </row>
    <row r="102" spans="1:5">
      <c r="A102" s="91">
        <v>2</v>
      </c>
      <c r="B102" s="93">
        <v>0.98</v>
      </c>
      <c r="C102" s="92">
        <v>2.1204999999999998</v>
      </c>
      <c r="D102" s="89">
        <v>2.7320000000000002</v>
      </c>
      <c r="E102" s="89">
        <v>1.9594</v>
      </c>
    </row>
    <row r="103" spans="1:5">
      <c r="A103" s="85">
        <v>1</v>
      </c>
      <c r="B103" s="88">
        <v>0.99</v>
      </c>
      <c r="C103" s="87">
        <v>2.3443999999999998</v>
      </c>
      <c r="D103" s="83">
        <v>3.0868000000000002</v>
      </c>
      <c r="E103" s="83">
        <v>2.1299000000000001</v>
      </c>
    </row>
  </sheetData>
  <mergeCells count="1">
    <mergeCell ref="A2:A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Building Type" prompt="Please Select Building Type" xr:uid="{00B7D217-0F56-4D6A-9DFA-5B93308DF7D1}">
          <x14:formula1>
            <xm:f>Refference!$A$2:$A$21</xm:f>
          </x14:formula1>
          <xm:sqref>C2:E2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D995A-1D89-4A14-B560-FD9149DC3003}">
  <sheetPr codeName="Sheet6"/>
  <dimension ref="A2:E103"/>
  <sheetViews>
    <sheetView workbookViewId="0">
      <selection activeCell="C9" sqref="C9"/>
    </sheetView>
  </sheetViews>
  <sheetFormatPr defaultRowHeight="14.5"/>
  <cols>
    <col min="3" max="3" width="6" customWidth="1"/>
    <col min="4" max="4" width="10.1796875" customWidth="1"/>
    <col min="5" max="5" width="10.54296875" customWidth="1"/>
  </cols>
  <sheetData>
    <row r="2" spans="1:5" ht="23">
      <c r="A2" s="382" t="s">
        <v>195</v>
      </c>
      <c r="B2" s="98" t="s">
        <v>194</v>
      </c>
      <c r="C2" t="s">
        <v>223</v>
      </c>
      <c r="D2" t="s">
        <v>232</v>
      </c>
      <c r="E2" t="s">
        <v>220</v>
      </c>
    </row>
    <row r="3" spans="1:5">
      <c r="A3" s="382"/>
      <c r="B3" s="98"/>
      <c r="C3" s="97" t="s">
        <v>191</v>
      </c>
      <c r="D3" s="96" t="s">
        <v>191</v>
      </c>
      <c r="E3" s="94" t="s">
        <v>191</v>
      </c>
    </row>
    <row r="4" spans="1:5">
      <c r="A4" s="91">
        <v>100</v>
      </c>
      <c r="B4" s="93">
        <v>0</v>
      </c>
      <c r="C4" s="92">
        <v>0.19320000000000001</v>
      </c>
      <c r="D4" s="89">
        <v>9.9599999999999994E-2</v>
      </c>
      <c r="E4" s="89">
        <v>0.31580000000000003</v>
      </c>
    </row>
    <row r="5" spans="1:5">
      <c r="A5" s="85">
        <v>99</v>
      </c>
      <c r="B5" s="88">
        <v>0.01</v>
      </c>
      <c r="C5" s="87">
        <v>0.2384</v>
      </c>
      <c r="D5" s="83">
        <v>0.13739999999999999</v>
      </c>
      <c r="E5" s="83">
        <v>0.3664</v>
      </c>
    </row>
    <row r="6" spans="1:5">
      <c r="A6" s="91">
        <v>98</v>
      </c>
      <c r="B6" s="93">
        <v>0.02</v>
      </c>
      <c r="C6" s="92">
        <v>0.27079999999999999</v>
      </c>
      <c r="D6" s="89">
        <v>0.16650000000000001</v>
      </c>
      <c r="E6" s="89">
        <v>0.40150000000000002</v>
      </c>
    </row>
    <row r="7" spans="1:5">
      <c r="A7" s="85">
        <v>97</v>
      </c>
      <c r="B7" s="88">
        <v>0.03</v>
      </c>
      <c r="C7" s="87">
        <v>0.29730000000000001</v>
      </c>
      <c r="D7" s="83">
        <v>0.1915</v>
      </c>
      <c r="E7" s="83">
        <v>0.4294</v>
      </c>
    </row>
    <row r="8" spans="1:5">
      <c r="A8" s="91">
        <v>96</v>
      </c>
      <c r="B8" s="93">
        <v>0.04</v>
      </c>
      <c r="C8" s="92">
        <v>0.32019999999999998</v>
      </c>
      <c r="D8" s="89">
        <v>0.21379999999999999</v>
      </c>
      <c r="E8" s="89">
        <v>0.4531</v>
      </c>
    </row>
    <row r="9" spans="1:5">
      <c r="A9" s="85">
        <v>95</v>
      </c>
      <c r="B9" s="88">
        <v>0.05</v>
      </c>
      <c r="C9" s="87">
        <v>0.3407</v>
      </c>
      <c r="D9" s="83">
        <v>0.23419999999999999</v>
      </c>
      <c r="E9" s="83">
        <v>0.47399999999999998</v>
      </c>
    </row>
    <row r="10" spans="1:5">
      <c r="A10" s="91">
        <v>94</v>
      </c>
      <c r="B10" s="93">
        <v>0.06</v>
      </c>
      <c r="C10" s="92">
        <v>0.35949999999999999</v>
      </c>
      <c r="D10" s="89">
        <v>0.25340000000000001</v>
      </c>
      <c r="E10" s="89">
        <v>0.49280000000000002</v>
      </c>
    </row>
    <row r="11" spans="1:5">
      <c r="A11" s="85">
        <v>93</v>
      </c>
      <c r="B11" s="88">
        <v>7.0000000000000007E-2</v>
      </c>
      <c r="C11" s="87">
        <v>0.37690000000000001</v>
      </c>
      <c r="D11" s="83">
        <v>0.27150000000000002</v>
      </c>
      <c r="E11" s="83">
        <v>0.51019999999999999</v>
      </c>
    </row>
    <row r="12" spans="1:5">
      <c r="A12" s="91">
        <v>92</v>
      </c>
      <c r="B12" s="93">
        <v>0.08</v>
      </c>
      <c r="C12" s="92">
        <v>0.39319999999999999</v>
      </c>
      <c r="D12" s="89">
        <v>0.2888</v>
      </c>
      <c r="E12" s="89">
        <v>0.52629999999999999</v>
      </c>
    </row>
    <row r="13" spans="1:5">
      <c r="A13" s="85">
        <v>91</v>
      </c>
      <c r="B13" s="88">
        <v>0.09</v>
      </c>
      <c r="C13" s="87">
        <v>0.40870000000000001</v>
      </c>
      <c r="D13" s="83">
        <v>0.3054</v>
      </c>
      <c r="E13" s="83">
        <v>0.54149999999999998</v>
      </c>
    </row>
    <row r="14" spans="1:5">
      <c r="A14" s="91">
        <v>90</v>
      </c>
      <c r="B14" s="93">
        <v>0.1</v>
      </c>
      <c r="C14" s="92">
        <v>0.4234</v>
      </c>
      <c r="D14" s="89">
        <v>0.32150000000000001</v>
      </c>
      <c r="E14" s="89">
        <v>0.55589999999999995</v>
      </c>
    </row>
    <row r="15" spans="1:5">
      <c r="A15" s="85">
        <v>89</v>
      </c>
      <c r="B15" s="88">
        <v>0.11</v>
      </c>
      <c r="C15" s="87">
        <v>0.43759999999999999</v>
      </c>
      <c r="D15" s="83">
        <v>0.33710000000000001</v>
      </c>
      <c r="E15" s="83">
        <v>0.5696</v>
      </c>
    </row>
    <row r="16" spans="1:5">
      <c r="A16" s="91">
        <v>88</v>
      </c>
      <c r="B16" s="93">
        <v>0.12</v>
      </c>
      <c r="C16" s="92">
        <v>0.45129999999999998</v>
      </c>
      <c r="D16" s="89">
        <v>0.3523</v>
      </c>
      <c r="E16" s="89">
        <v>0.5827</v>
      </c>
    </row>
    <row r="17" spans="1:5">
      <c r="A17" s="85">
        <v>87</v>
      </c>
      <c r="B17" s="88">
        <v>0.13</v>
      </c>
      <c r="C17" s="87">
        <v>0.46460000000000001</v>
      </c>
      <c r="D17" s="83">
        <v>0.36720000000000003</v>
      </c>
      <c r="E17" s="83">
        <v>0.59540000000000004</v>
      </c>
    </row>
    <row r="18" spans="1:5">
      <c r="A18" s="91">
        <v>86</v>
      </c>
      <c r="B18" s="93">
        <v>0.14000000000000001</v>
      </c>
      <c r="C18" s="92">
        <v>0.47739999999999999</v>
      </c>
      <c r="D18" s="89">
        <v>0.38179999999999997</v>
      </c>
      <c r="E18" s="89">
        <v>0.60760000000000003</v>
      </c>
    </row>
    <row r="19" spans="1:5">
      <c r="A19" s="85">
        <v>85</v>
      </c>
      <c r="B19" s="88">
        <v>0.15</v>
      </c>
      <c r="C19" s="87">
        <v>0.49</v>
      </c>
      <c r="D19" s="83">
        <v>0.39610000000000001</v>
      </c>
      <c r="E19" s="83">
        <v>0.61950000000000005</v>
      </c>
    </row>
    <row r="20" spans="1:5">
      <c r="A20" s="91">
        <v>84</v>
      </c>
      <c r="B20" s="93">
        <v>0.16</v>
      </c>
      <c r="C20" s="92">
        <v>0.50219999999999998</v>
      </c>
      <c r="D20" s="89">
        <v>0.41020000000000001</v>
      </c>
      <c r="E20" s="89">
        <v>0.63100000000000001</v>
      </c>
    </row>
    <row r="21" spans="1:5">
      <c r="A21" s="85">
        <v>83</v>
      </c>
      <c r="B21" s="88">
        <v>0.17</v>
      </c>
      <c r="C21" s="87">
        <v>0.51419999999999999</v>
      </c>
      <c r="D21" s="83">
        <v>0.42420000000000002</v>
      </c>
      <c r="E21" s="83">
        <v>0.64219999999999999</v>
      </c>
    </row>
    <row r="22" spans="1:5">
      <c r="A22" s="91">
        <v>82</v>
      </c>
      <c r="B22" s="93">
        <v>0.18</v>
      </c>
      <c r="C22" s="92">
        <v>0.52600000000000002</v>
      </c>
      <c r="D22" s="89">
        <v>0.438</v>
      </c>
      <c r="E22" s="89">
        <v>0.6532</v>
      </c>
    </row>
    <row r="23" spans="1:5">
      <c r="A23" s="85">
        <v>81</v>
      </c>
      <c r="B23" s="88">
        <v>0.19</v>
      </c>
      <c r="C23" s="87">
        <v>0.53759999999999997</v>
      </c>
      <c r="D23" s="83">
        <v>0.4516</v>
      </c>
      <c r="E23" s="83">
        <v>0.66400000000000003</v>
      </c>
    </row>
    <row r="24" spans="1:5">
      <c r="A24" s="91">
        <v>80</v>
      </c>
      <c r="B24" s="93">
        <v>0.2</v>
      </c>
      <c r="C24" s="92">
        <v>0.54900000000000004</v>
      </c>
      <c r="D24" s="89">
        <v>0.4652</v>
      </c>
      <c r="E24" s="89">
        <v>0.67459999999999998</v>
      </c>
    </row>
    <row r="25" spans="1:5">
      <c r="A25" s="85">
        <v>79</v>
      </c>
      <c r="B25" s="88">
        <v>0.21</v>
      </c>
      <c r="C25" s="87">
        <v>0.56030000000000002</v>
      </c>
      <c r="D25" s="83">
        <v>0.47860000000000003</v>
      </c>
      <c r="E25" s="83">
        <v>0.68489999999999995</v>
      </c>
    </row>
    <row r="26" spans="1:5">
      <c r="A26" s="91">
        <v>78</v>
      </c>
      <c r="B26" s="93">
        <v>0.22</v>
      </c>
      <c r="C26" s="92">
        <v>0.57140000000000002</v>
      </c>
      <c r="D26" s="89">
        <v>0.49199999999999999</v>
      </c>
      <c r="E26" s="89">
        <v>0.69510000000000005</v>
      </c>
    </row>
    <row r="27" spans="1:5">
      <c r="A27" s="85">
        <v>77</v>
      </c>
      <c r="B27" s="88">
        <v>0.23</v>
      </c>
      <c r="C27" s="87">
        <v>0.58240000000000003</v>
      </c>
      <c r="D27" s="83">
        <v>0.50529999999999997</v>
      </c>
      <c r="E27" s="83">
        <v>0.70520000000000005</v>
      </c>
    </row>
    <row r="28" spans="1:5">
      <c r="A28" s="91">
        <v>76</v>
      </c>
      <c r="B28" s="93">
        <v>0.24</v>
      </c>
      <c r="C28" s="92">
        <v>0.59330000000000005</v>
      </c>
      <c r="D28" s="89">
        <v>0.51849999999999996</v>
      </c>
      <c r="E28" s="89">
        <v>0.71519999999999995</v>
      </c>
    </row>
    <row r="29" spans="1:5">
      <c r="A29" s="85">
        <v>75</v>
      </c>
      <c r="B29" s="88">
        <v>0.25</v>
      </c>
      <c r="C29" s="87">
        <v>0.60409999999999997</v>
      </c>
      <c r="D29" s="83">
        <v>0.53169999999999995</v>
      </c>
      <c r="E29" s="83">
        <v>0.72499999999999998</v>
      </c>
    </row>
    <row r="30" spans="1:5">
      <c r="A30" s="91">
        <v>74</v>
      </c>
      <c r="B30" s="93">
        <v>0.26</v>
      </c>
      <c r="C30" s="92">
        <v>0.61480000000000001</v>
      </c>
      <c r="D30" s="89">
        <v>0.54490000000000005</v>
      </c>
      <c r="E30" s="89">
        <v>0.73470000000000002</v>
      </c>
    </row>
    <row r="31" spans="1:5">
      <c r="A31" s="85">
        <v>73</v>
      </c>
      <c r="B31" s="88">
        <v>0.27</v>
      </c>
      <c r="C31" s="87">
        <v>0.62549999999999994</v>
      </c>
      <c r="D31" s="83">
        <v>0.55800000000000005</v>
      </c>
      <c r="E31" s="83">
        <v>0.74429999999999996</v>
      </c>
    </row>
    <row r="32" spans="1:5">
      <c r="A32" s="91">
        <v>72</v>
      </c>
      <c r="B32" s="93">
        <v>0.28000000000000003</v>
      </c>
      <c r="C32" s="92">
        <v>0.6361</v>
      </c>
      <c r="D32" s="89">
        <v>0.57110000000000005</v>
      </c>
      <c r="E32" s="89">
        <v>0.75390000000000001</v>
      </c>
    </row>
    <row r="33" spans="1:5">
      <c r="A33" s="85">
        <v>71</v>
      </c>
      <c r="B33" s="88">
        <v>0.28999999999999998</v>
      </c>
      <c r="C33" s="87">
        <v>0.64659999999999995</v>
      </c>
      <c r="D33" s="83">
        <v>0.58430000000000004</v>
      </c>
      <c r="E33" s="83">
        <v>0.76339999999999997</v>
      </c>
    </row>
    <row r="34" spans="1:5">
      <c r="A34" s="91">
        <v>70</v>
      </c>
      <c r="B34" s="93">
        <v>0.3</v>
      </c>
      <c r="C34" s="92">
        <v>0.65710000000000002</v>
      </c>
      <c r="D34" s="89">
        <v>0.59740000000000004</v>
      </c>
      <c r="E34" s="89">
        <v>0.77280000000000004</v>
      </c>
    </row>
    <row r="35" spans="1:5">
      <c r="A35" s="85">
        <v>69</v>
      </c>
      <c r="B35" s="88">
        <v>0.31</v>
      </c>
      <c r="C35" s="87">
        <v>0.66759999999999997</v>
      </c>
      <c r="D35" s="83">
        <v>0.61050000000000004</v>
      </c>
      <c r="E35" s="83">
        <v>0.78210000000000002</v>
      </c>
    </row>
    <row r="36" spans="1:5">
      <c r="A36" s="91">
        <v>68</v>
      </c>
      <c r="B36" s="93">
        <v>0.32</v>
      </c>
      <c r="C36" s="92">
        <v>0.67800000000000005</v>
      </c>
      <c r="D36" s="89">
        <v>0.62370000000000003</v>
      </c>
      <c r="E36" s="89">
        <v>0.79149999999999998</v>
      </c>
    </row>
    <row r="37" spans="1:5">
      <c r="A37" s="85">
        <v>67</v>
      </c>
      <c r="B37" s="88">
        <v>0.33</v>
      </c>
      <c r="C37" s="87">
        <v>0.68840000000000001</v>
      </c>
      <c r="D37" s="83">
        <v>0.63690000000000002</v>
      </c>
      <c r="E37" s="83">
        <v>0.80069999999999997</v>
      </c>
    </row>
    <row r="38" spans="1:5">
      <c r="A38" s="91">
        <v>66</v>
      </c>
      <c r="B38" s="93">
        <v>0.34</v>
      </c>
      <c r="C38" s="92">
        <v>0.69889999999999997</v>
      </c>
      <c r="D38" s="89">
        <v>0.6502</v>
      </c>
      <c r="E38" s="89">
        <v>0.81</v>
      </c>
    </row>
    <row r="39" spans="1:5">
      <c r="A39" s="85">
        <v>65</v>
      </c>
      <c r="B39" s="88">
        <v>0.35</v>
      </c>
      <c r="C39" s="87">
        <v>0.70930000000000004</v>
      </c>
      <c r="D39" s="83">
        <v>0.66349999999999998</v>
      </c>
      <c r="E39" s="83">
        <v>0.81920000000000004</v>
      </c>
    </row>
    <row r="40" spans="1:5">
      <c r="A40" s="91">
        <v>64</v>
      </c>
      <c r="B40" s="93">
        <v>0.36</v>
      </c>
      <c r="C40" s="92">
        <v>0.71970000000000001</v>
      </c>
      <c r="D40" s="89">
        <v>0.67689999999999995</v>
      </c>
      <c r="E40" s="89">
        <v>0.82840000000000003</v>
      </c>
    </row>
    <row r="41" spans="1:5">
      <c r="A41" s="85">
        <v>63</v>
      </c>
      <c r="B41" s="88">
        <v>0.37</v>
      </c>
      <c r="C41" s="87">
        <v>0.73009999999999997</v>
      </c>
      <c r="D41" s="83">
        <v>0.69030000000000002</v>
      </c>
      <c r="E41" s="83">
        <v>0.83760000000000001</v>
      </c>
    </row>
    <row r="42" spans="1:5">
      <c r="A42" s="91">
        <v>62</v>
      </c>
      <c r="B42" s="93">
        <v>0.38</v>
      </c>
      <c r="C42" s="92">
        <v>0.74060000000000004</v>
      </c>
      <c r="D42" s="89">
        <v>0.70379999999999998</v>
      </c>
      <c r="E42" s="89">
        <v>0.8468</v>
      </c>
    </row>
    <row r="43" spans="1:5">
      <c r="A43" s="85">
        <v>61</v>
      </c>
      <c r="B43" s="88">
        <v>0.39</v>
      </c>
      <c r="C43" s="87">
        <v>0.75109999999999999</v>
      </c>
      <c r="D43" s="83">
        <v>0.71740000000000004</v>
      </c>
      <c r="E43" s="83">
        <v>0.85589999999999999</v>
      </c>
    </row>
    <row r="44" spans="1:5">
      <c r="A44" s="91">
        <v>60</v>
      </c>
      <c r="B44" s="93">
        <v>0.4</v>
      </c>
      <c r="C44" s="92">
        <v>0.76160000000000005</v>
      </c>
      <c r="D44" s="89">
        <v>0.73099999999999998</v>
      </c>
      <c r="E44" s="89">
        <v>0.86509999999999998</v>
      </c>
    </row>
    <row r="45" spans="1:5">
      <c r="A45" s="85">
        <v>59</v>
      </c>
      <c r="B45" s="88">
        <v>0.41</v>
      </c>
      <c r="C45" s="87">
        <v>0.77210000000000001</v>
      </c>
      <c r="D45" s="83">
        <v>0.74480000000000002</v>
      </c>
      <c r="E45" s="83">
        <v>0.87429999999999997</v>
      </c>
    </row>
    <row r="46" spans="1:5">
      <c r="A46" s="91">
        <v>58</v>
      </c>
      <c r="B46" s="93">
        <v>0.42</v>
      </c>
      <c r="C46" s="92">
        <v>0.78269999999999995</v>
      </c>
      <c r="D46" s="89">
        <v>0.75870000000000004</v>
      </c>
      <c r="E46" s="89">
        <v>0.88360000000000005</v>
      </c>
    </row>
    <row r="47" spans="1:5">
      <c r="A47" s="85">
        <v>57</v>
      </c>
      <c r="B47" s="88">
        <v>0.43</v>
      </c>
      <c r="C47" s="87">
        <v>0.79330000000000001</v>
      </c>
      <c r="D47" s="83">
        <v>0.77270000000000005</v>
      </c>
      <c r="E47" s="83">
        <v>0.89280000000000004</v>
      </c>
    </row>
    <row r="48" spans="1:5">
      <c r="A48" s="91">
        <v>56</v>
      </c>
      <c r="B48" s="93">
        <v>0.44</v>
      </c>
      <c r="C48" s="92">
        <v>0.80400000000000005</v>
      </c>
      <c r="D48" s="89">
        <v>0.78680000000000005</v>
      </c>
      <c r="E48" s="89">
        <v>0.90210000000000001</v>
      </c>
    </row>
    <row r="49" spans="1:5">
      <c r="A49" s="85">
        <v>55</v>
      </c>
      <c r="B49" s="88">
        <v>0.45</v>
      </c>
      <c r="C49" s="87">
        <v>0.81479999999999997</v>
      </c>
      <c r="D49" s="83">
        <v>0.80100000000000005</v>
      </c>
      <c r="E49" s="83">
        <v>0.91139999999999999</v>
      </c>
    </row>
    <row r="50" spans="1:5">
      <c r="A50" s="91">
        <v>54</v>
      </c>
      <c r="B50" s="93">
        <v>0.46</v>
      </c>
      <c r="C50" s="92">
        <v>0.8256</v>
      </c>
      <c r="D50" s="89">
        <v>0.81540000000000001</v>
      </c>
      <c r="E50" s="89">
        <v>0.92069999999999996</v>
      </c>
    </row>
    <row r="51" spans="1:5">
      <c r="A51" s="85">
        <v>53</v>
      </c>
      <c r="B51" s="88">
        <v>0.47</v>
      </c>
      <c r="C51" s="87">
        <v>0.83650000000000002</v>
      </c>
      <c r="D51" s="83">
        <v>0.82989999999999997</v>
      </c>
      <c r="E51" s="83">
        <v>0.93010000000000004</v>
      </c>
    </row>
    <row r="52" spans="1:5">
      <c r="A52" s="91">
        <v>52</v>
      </c>
      <c r="B52" s="93">
        <v>0.48</v>
      </c>
      <c r="C52" s="92">
        <v>0.84750000000000003</v>
      </c>
      <c r="D52" s="89">
        <v>0.84450000000000003</v>
      </c>
      <c r="E52" s="89">
        <v>0.93959999999999999</v>
      </c>
    </row>
    <row r="53" spans="1:5">
      <c r="A53" s="85">
        <v>51</v>
      </c>
      <c r="B53" s="88">
        <v>0.49</v>
      </c>
      <c r="C53" s="87">
        <v>0.85860000000000003</v>
      </c>
      <c r="D53" s="83">
        <v>0.85940000000000005</v>
      </c>
      <c r="E53" s="83">
        <v>0.94910000000000005</v>
      </c>
    </row>
    <row r="54" spans="1:5">
      <c r="A54" s="91">
        <v>50</v>
      </c>
      <c r="B54" s="93">
        <v>0.5</v>
      </c>
      <c r="C54" s="92">
        <v>0.86970000000000003</v>
      </c>
      <c r="D54" s="89">
        <v>0.87439999999999996</v>
      </c>
      <c r="E54" s="89">
        <v>0.9587</v>
      </c>
    </row>
    <row r="55" spans="1:5">
      <c r="A55" s="85">
        <v>49</v>
      </c>
      <c r="B55" s="88">
        <v>0.51</v>
      </c>
      <c r="C55" s="87">
        <v>0.88100000000000001</v>
      </c>
      <c r="D55" s="83">
        <v>0.88959999999999995</v>
      </c>
      <c r="E55" s="83">
        <v>0.96830000000000005</v>
      </c>
    </row>
    <row r="56" spans="1:5">
      <c r="A56" s="91">
        <v>48</v>
      </c>
      <c r="B56" s="93">
        <v>0.52</v>
      </c>
      <c r="C56" s="92">
        <v>0.89239999999999997</v>
      </c>
      <c r="D56" s="89">
        <v>0.90500000000000003</v>
      </c>
      <c r="E56" s="89">
        <v>0.97799999999999998</v>
      </c>
    </row>
    <row r="57" spans="1:5">
      <c r="A57" s="85">
        <v>47</v>
      </c>
      <c r="B57" s="88">
        <v>0.53</v>
      </c>
      <c r="C57" s="87">
        <v>0.90390000000000004</v>
      </c>
      <c r="D57" s="83">
        <v>0.92059999999999997</v>
      </c>
      <c r="E57" s="83">
        <v>0.98780000000000001</v>
      </c>
    </row>
    <row r="58" spans="1:5">
      <c r="A58" s="91">
        <v>46</v>
      </c>
      <c r="B58" s="93">
        <v>0.54</v>
      </c>
      <c r="C58" s="92">
        <v>0.91549999999999998</v>
      </c>
      <c r="D58" s="89">
        <v>0.93640000000000001</v>
      </c>
      <c r="E58" s="89">
        <v>0.99770000000000003</v>
      </c>
    </row>
    <row r="59" spans="1:5">
      <c r="A59" s="85">
        <v>45</v>
      </c>
      <c r="B59" s="88">
        <v>0.55000000000000004</v>
      </c>
      <c r="C59" s="87">
        <v>0.92730000000000001</v>
      </c>
      <c r="D59" s="83">
        <v>0.95250000000000001</v>
      </c>
      <c r="E59" s="83">
        <v>1.0077</v>
      </c>
    </row>
    <row r="60" spans="1:5">
      <c r="A60" s="91">
        <v>44</v>
      </c>
      <c r="B60" s="93">
        <v>0.56000000000000005</v>
      </c>
      <c r="C60" s="92">
        <v>0.93920000000000003</v>
      </c>
      <c r="D60" s="89">
        <v>0.96879999999999999</v>
      </c>
      <c r="E60" s="89">
        <v>1.0178</v>
      </c>
    </row>
    <row r="61" spans="1:5">
      <c r="A61" s="85">
        <v>43</v>
      </c>
      <c r="B61" s="88">
        <v>0.56999999999999995</v>
      </c>
      <c r="C61" s="87">
        <v>0.95130000000000003</v>
      </c>
      <c r="D61" s="83">
        <v>0.98529999999999995</v>
      </c>
      <c r="E61" s="83">
        <v>1.028</v>
      </c>
    </row>
    <row r="62" spans="1:5">
      <c r="A62" s="91">
        <v>42</v>
      </c>
      <c r="B62" s="93">
        <v>0.57999999999999996</v>
      </c>
      <c r="C62" s="92">
        <v>0.96360000000000001</v>
      </c>
      <c r="D62" s="89">
        <v>1.0021</v>
      </c>
      <c r="E62" s="89">
        <v>1.0383</v>
      </c>
    </row>
    <row r="63" spans="1:5">
      <c r="A63" s="85">
        <v>41</v>
      </c>
      <c r="B63" s="88">
        <v>0.59</v>
      </c>
      <c r="C63" s="87">
        <v>0.97599999999999998</v>
      </c>
      <c r="D63" s="83">
        <v>1.0193000000000001</v>
      </c>
      <c r="E63" s="83">
        <v>1.0488</v>
      </c>
    </row>
    <row r="64" spans="1:5">
      <c r="A64" s="91">
        <v>40</v>
      </c>
      <c r="B64" s="93">
        <v>0.6</v>
      </c>
      <c r="C64" s="92">
        <v>0.98860000000000003</v>
      </c>
      <c r="D64" s="89">
        <v>1.0367</v>
      </c>
      <c r="E64" s="89">
        <v>1.0593999999999999</v>
      </c>
    </row>
    <row r="65" spans="1:5">
      <c r="A65" s="85">
        <v>39</v>
      </c>
      <c r="B65" s="88">
        <v>0.61</v>
      </c>
      <c r="C65" s="87">
        <v>1.0014000000000001</v>
      </c>
      <c r="D65" s="83">
        <v>1.0545</v>
      </c>
      <c r="E65" s="83">
        <v>1.0701000000000001</v>
      </c>
    </row>
    <row r="66" spans="1:5">
      <c r="A66" s="91">
        <v>38</v>
      </c>
      <c r="B66" s="93">
        <v>0.62</v>
      </c>
      <c r="C66" s="92">
        <v>1.0144</v>
      </c>
      <c r="D66" s="89">
        <v>1.0726</v>
      </c>
      <c r="E66" s="89">
        <v>1.081</v>
      </c>
    </row>
    <row r="67" spans="1:5">
      <c r="A67" s="85">
        <v>37</v>
      </c>
      <c r="B67" s="88">
        <v>0.63</v>
      </c>
      <c r="C67" s="87">
        <v>1.0277000000000001</v>
      </c>
      <c r="D67" s="83">
        <v>1.0911</v>
      </c>
      <c r="E67" s="83">
        <v>1.0921000000000001</v>
      </c>
    </row>
    <row r="68" spans="1:5">
      <c r="A68" s="91">
        <v>36</v>
      </c>
      <c r="B68" s="93">
        <v>0.64</v>
      </c>
      <c r="C68" s="92">
        <v>1.0410999999999999</v>
      </c>
      <c r="D68" s="89">
        <v>1.1099000000000001</v>
      </c>
      <c r="E68" s="89">
        <v>1.1033999999999999</v>
      </c>
    </row>
    <row r="69" spans="1:5">
      <c r="A69" s="85">
        <v>35</v>
      </c>
      <c r="B69" s="88">
        <v>0.65</v>
      </c>
      <c r="C69" s="87">
        <v>1.0548999999999999</v>
      </c>
      <c r="D69" s="83">
        <v>1.1292</v>
      </c>
      <c r="E69" s="83">
        <v>1.1148</v>
      </c>
    </row>
    <row r="70" spans="1:5">
      <c r="A70" s="91">
        <v>34</v>
      </c>
      <c r="B70" s="93">
        <v>0.66</v>
      </c>
      <c r="C70" s="92">
        <v>1.0689</v>
      </c>
      <c r="D70" s="89">
        <v>1.1489</v>
      </c>
      <c r="E70" s="89">
        <v>1.1265000000000001</v>
      </c>
    </row>
    <row r="71" spans="1:5">
      <c r="A71" s="85">
        <v>33</v>
      </c>
      <c r="B71" s="88">
        <v>0.67</v>
      </c>
      <c r="C71" s="87">
        <v>1.0832999999999999</v>
      </c>
      <c r="D71" s="83">
        <v>1.1691</v>
      </c>
      <c r="E71" s="83">
        <v>1.1384000000000001</v>
      </c>
    </row>
    <row r="72" spans="1:5">
      <c r="A72" s="91">
        <v>32</v>
      </c>
      <c r="B72" s="93">
        <v>0.68</v>
      </c>
      <c r="C72" s="92">
        <v>1.0979000000000001</v>
      </c>
      <c r="D72" s="89">
        <v>1.1898</v>
      </c>
      <c r="E72" s="89">
        <v>1.1505000000000001</v>
      </c>
    </row>
    <row r="73" spans="1:5">
      <c r="A73" s="85">
        <v>31</v>
      </c>
      <c r="B73" s="88">
        <v>0.69</v>
      </c>
      <c r="C73" s="87">
        <v>1.1129</v>
      </c>
      <c r="D73" s="83">
        <v>1.2111000000000001</v>
      </c>
      <c r="E73" s="83">
        <v>1.1629</v>
      </c>
    </row>
    <row r="74" spans="1:5">
      <c r="A74" s="91">
        <v>30</v>
      </c>
      <c r="B74" s="93">
        <v>0.7</v>
      </c>
      <c r="C74" s="92">
        <v>1.1282000000000001</v>
      </c>
      <c r="D74" s="89">
        <v>1.2329000000000001</v>
      </c>
      <c r="E74" s="89">
        <v>1.1755</v>
      </c>
    </row>
    <row r="75" spans="1:5">
      <c r="A75" s="85">
        <v>29</v>
      </c>
      <c r="B75" s="88">
        <v>0.71</v>
      </c>
      <c r="C75" s="87">
        <v>1.1439999999999999</v>
      </c>
      <c r="D75" s="83">
        <v>1.2553000000000001</v>
      </c>
      <c r="E75" s="83">
        <v>1.1884999999999999</v>
      </c>
    </row>
    <row r="76" spans="1:5">
      <c r="A76" s="91">
        <v>28</v>
      </c>
      <c r="B76" s="93">
        <v>0.72</v>
      </c>
      <c r="C76" s="92">
        <v>1.1600999999999999</v>
      </c>
      <c r="D76" s="89">
        <v>1.2784</v>
      </c>
      <c r="E76" s="89">
        <v>1.2018</v>
      </c>
    </row>
    <row r="77" spans="1:5">
      <c r="A77" s="85">
        <v>27</v>
      </c>
      <c r="B77" s="88">
        <v>0.73</v>
      </c>
      <c r="C77" s="87">
        <v>1.1767000000000001</v>
      </c>
      <c r="D77" s="83">
        <v>1.3022</v>
      </c>
      <c r="E77" s="83">
        <v>1.2154</v>
      </c>
    </row>
    <row r="78" spans="1:5">
      <c r="A78" s="91">
        <v>26</v>
      </c>
      <c r="B78" s="93">
        <v>0.74</v>
      </c>
      <c r="C78" s="92">
        <v>1.1939</v>
      </c>
      <c r="D78" s="89">
        <v>1.3268</v>
      </c>
      <c r="E78" s="89">
        <v>1.2294</v>
      </c>
    </row>
    <row r="79" spans="1:5">
      <c r="A79" s="85">
        <v>25</v>
      </c>
      <c r="B79" s="88">
        <v>0.75</v>
      </c>
      <c r="C79" s="87">
        <v>1.2115</v>
      </c>
      <c r="D79" s="83">
        <v>1.3522000000000001</v>
      </c>
      <c r="E79" s="83">
        <v>1.2439</v>
      </c>
    </row>
    <row r="80" spans="1:5">
      <c r="A80" s="91">
        <v>24</v>
      </c>
      <c r="B80" s="93">
        <v>0.76</v>
      </c>
      <c r="C80" s="92">
        <v>1.2297</v>
      </c>
      <c r="D80" s="89">
        <v>1.3786</v>
      </c>
      <c r="E80" s="89">
        <v>1.2586999999999999</v>
      </c>
    </row>
    <row r="81" spans="1:5">
      <c r="A81" s="85">
        <v>23</v>
      </c>
      <c r="B81" s="88">
        <v>0.77</v>
      </c>
      <c r="C81" s="87">
        <v>1.2485999999999999</v>
      </c>
      <c r="D81" s="83">
        <v>1.4058999999999999</v>
      </c>
      <c r="E81" s="83">
        <v>1.2741</v>
      </c>
    </row>
    <row r="82" spans="1:5">
      <c r="A82" s="91">
        <v>22</v>
      </c>
      <c r="B82" s="93">
        <v>0.78</v>
      </c>
      <c r="C82" s="92">
        <v>1.2681</v>
      </c>
      <c r="D82" s="89">
        <v>1.4342999999999999</v>
      </c>
      <c r="E82" s="89">
        <v>1.29</v>
      </c>
    </row>
    <row r="83" spans="1:5">
      <c r="A83" s="85">
        <v>21</v>
      </c>
      <c r="B83" s="88">
        <v>0.79</v>
      </c>
      <c r="C83" s="87">
        <v>1.2884</v>
      </c>
      <c r="D83" s="83">
        <v>1.4639</v>
      </c>
      <c r="E83" s="83">
        <v>1.3064</v>
      </c>
    </row>
    <row r="84" spans="1:5">
      <c r="A84" s="91">
        <v>20</v>
      </c>
      <c r="B84" s="93">
        <v>0.8</v>
      </c>
      <c r="C84" s="92">
        <v>1.3096000000000001</v>
      </c>
      <c r="D84" s="89">
        <v>1.4947999999999999</v>
      </c>
      <c r="E84" s="89">
        <v>1.3236000000000001</v>
      </c>
    </row>
    <row r="85" spans="1:5">
      <c r="A85" s="85">
        <v>19</v>
      </c>
      <c r="B85" s="88">
        <v>0.81</v>
      </c>
      <c r="C85" s="87">
        <v>1.3317000000000001</v>
      </c>
      <c r="D85" s="83">
        <v>1.5271999999999999</v>
      </c>
      <c r="E85" s="83">
        <v>1.3413999999999999</v>
      </c>
    </row>
    <row r="86" spans="1:5">
      <c r="A86" s="91">
        <v>18</v>
      </c>
      <c r="B86" s="93">
        <v>0.82</v>
      </c>
      <c r="C86" s="92">
        <v>1.3548</v>
      </c>
      <c r="D86" s="89">
        <v>1.5611999999999999</v>
      </c>
      <c r="E86" s="89">
        <v>1.36</v>
      </c>
    </row>
    <row r="87" spans="1:5">
      <c r="A87" s="85">
        <v>17</v>
      </c>
      <c r="B87" s="88">
        <v>0.83</v>
      </c>
      <c r="C87" s="87">
        <v>1.3791</v>
      </c>
      <c r="D87" s="83">
        <v>1.597</v>
      </c>
      <c r="E87" s="83">
        <v>1.3795999999999999</v>
      </c>
    </row>
    <row r="88" spans="1:5">
      <c r="A88" s="91">
        <v>16</v>
      </c>
      <c r="B88" s="93">
        <v>0.84</v>
      </c>
      <c r="C88" s="92">
        <v>1.4047000000000001</v>
      </c>
      <c r="D88" s="89">
        <v>1.6349</v>
      </c>
      <c r="E88" s="89">
        <v>1.4000999999999999</v>
      </c>
    </row>
    <row r="89" spans="1:5">
      <c r="A89" s="85">
        <v>15</v>
      </c>
      <c r="B89" s="88">
        <v>0.85</v>
      </c>
      <c r="C89" s="87">
        <v>1.4318</v>
      </c>
      <c r="D89" s="83">
        <v>1.6751</v>
      </c>
      <c r="E89" s="83">
        <v>1.4218</v>
      </c>
    </row>
    <row r="90" spans="1:5">
      <c r="A90" s="91">
        <v>14</v>
      </c>
      <c r="B90" s="93">
        <v>0.86</v>
      </c>
      <c r="C90" s="92">
        <v>1.4605999999999999</v>
      </c>
      <c r="D90" s="89">
        <v>1.7179</v>
      </c>
      <c r="E90" s="89">
        <v>1.4448000000000001</v>
      </c>
    </row>
    <row r="91" spans="1:5">
      <c r="A91" s="85">
        <v>13</v>
      </c>
      <c r="B91" s="88">
        <v>0.87</v>
      </c>
      <c r="C91" s="87">
        <v>1.4913000000000001</v>
      </c>
      <c r="D91" s="83">
        <v>1.7639</v>
      </c>
      <c r="E91" s="83">
        <v>1.4693000000000001</v>
      </c>
    </row>
    <row r="92" spans="1:5">
      <c r="A92" s="91">
        <v>12</v>
      </c>
      <c r="B92" s="93">
        <v>0.88</v>
      </c>
      <c r="C92" s="92">
        <v>1.5244</v>
      </c>
      <c r="D92" s="89">
        <v>1.8134999999999999</v>
      </c>
      <c r="E92" s="89">
        <v>1.4956</v>
      </c>
    </row>
    <row r="93" spans="1:5">
      <c r="A93" s="85">
        <v>11</v>
      </c>
      <c r="B93" s="88">
        <v>0.89</v>
      </c>
      <c r="C93" s="87">
        <v>1.5602</v>
      </c>
      <c r="D93" s="83">
        <v>1.8673999999999999</v>
      </c>
      <c r="E93" s="83">
        <v>1.5239</v>
      </c>
    </row>
    <row r="94" spans="1:5">
      <c r="A94" s="91">
        <v>10</v>
      </c>
      <c r="B94" s="93">
        <v>0.9</v>
      </c>
      <c r="C94" s="92">
        <v>1.5993999999999999</v>
      </c>
      <c r="D94" s="89">
        <v>1.9265000000000001</v>
      </c>
      <c r="E94" s="89">
        <v>1.5548999999999999</v>
      </c>
    </row>
    <row r="95" spans="1:5">
      <c r="A95" s="85">
        <v>9</v>
      </c>
      <c r="B95" s="88">
        <v>0.91</v>
      </c>
      <c r="C95" s="87">
        <v>1.6426000000000001</v>
      </c>
      <c r="D95" s="83">
        <v>1.9921</v>
      </c>
      <c r="E95" s="83">
        <v>1.5889</v>
      </c>
    </row>
    <row r="96" spans="1:5">
      <c r="A96" s="91">
        <v>8</v>
      </c>
      <c r="B96" s="93">
        <v>0.92</v>
      </c>
      <c r="C96" s="92">
        <v>1.6910000000000001</v>
      </c>
      <c r="D96" s="89">
        <v>2.0657999999999999</v>
      </c>
      <c r="E96" s="89">
        <v>1.627</v>
      </c>
    </row>
    <row r="97" spans="1:5">
      <c r="A97" s="85">
        <v>7</v>
      </c>
      <c r="B97" s="88">
        <v>0.93</v>
      </c>
      <c r="C97" s="87">
        <v>1.7461</v>
      </c>
      <c r="D97" s="83">
        <v>2.1501000000000001</v>
      </c>
      <c r="E97" s="83">
        <v>1.6700999999999999</v>
      </c>
    </row>
    <row r="98" spans="1:5">
      <c r="A98" s="91">
        <v>6</v>
      </c>
      <c r="B98" s="93">
        <v>0.94</v>
      </c>
      <c r="C98" s="92">
        <v>1.8104</v>
      </c>
      <c r="D98" s="89">
        <v>2.2488000000000001</v>
      </c>
      <c r="E98" s="89">
        <v>1.7201</v>
      </c>
    </row>
    <row r="99" spans="1:5">
      <c r="A99" s="85">
        <v>5</v>
      </c>
      <c r="B99" s="88">
        <v>0.95</v>
      </c>
      <c r="C99" s="87">
        <v>1.8876999999999999</v>
      </c>
      <c r="D99" s="83">
        <v>2.3683000000000001</v>
      </c>
      <c r="E99" s="83">
        <v>1.7802</v>
      </c>
    </row>
    <row r="100" spans="1:5">
      <c r="A100" s="91">
        <v>4</v>
      </c>
      <c r="B100" s="93">
        <v>0.96</v>
      </c>
      <c r="C100" s="92">
        <v>1.9855</v>
      </c>
      <c r="D100" s="89">
        <v>2.5205000000000002</v>
      </c>
      <c r="E100" s="89">
        <v>1.8557999999999999</v>
      </c>
    </row>
    <row r="101" spans="1:5">
      <c r="A101" s="85">
        <v>3</v>
      </c>
      <c r="B101" s="88">
        <v>0.97</v>
      </c>
      <c r="C101" s="87">
        <v>2.1204999999999998</v>
      </c>
      <c r="D101" s="83">
        <v>2.7320000000000002</v>
      </c>
      <c r="E101" s="83">
        <v>1.9594</v>
      </c>
    </row>
    <row r="102" spans="1:5">
      <c r="A102" s="91">
        <v>2</v>
      </c>
      <c r="B102" s="93">
        <v>0.98</v>
      </c>
      <c r="C102" s="92">
        <v>2.3443999999999998</v>
      </c>
      <c r="D102" s="89">
        <v>3.0868000000000002</v>
      </c>
      <c r="E102" s="89">
        <v>2.1299000000000001</v>
      </c>
    </row>
    <row r="103" spans="1:5">
      <c r="A103" s="85">
        <v>1</v>
      </c>
      <c r="B103" s="88">
        <v>0.99</v>
      </c>
      <c r="C103" s="86" t="s">
        <v>190</v>
      </c>
      <c r="D103" s="82" t="s">
        <v>189</v>
      </c>
      <c r="E103" s="82" t="s">
        <v>188</v>
      </c>
    </row>
  </sheetData>
  <mergeCells count="1">
    <mergeCell ref="A2:A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Building Type" prompt="Please Select Building Type" xr:uid="{B4B90F29-C635-42F2-A9F7-746D7989C795}">
          <x14:formula1>
            <xm:f>Refference!$A$2:$A$21</xm:f>
          </x14:formula1>
          <xm:sqref>C2:E2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T114"/>
  <sheetViews>
    <sheetView topLeftCell="O1" workbookViewId="0">
      <selection activeCell="D3" sqref="D3"/>
    </sheetView>
  </sheetViews>
  <sheetFormatPr defaultRowHeight="14.5"/>
  <cols>
    <col min="1" max="1" width="22" customWidth="1"/>
    <col min="4" max="4" width="13.81640625" customWidth="1"/>
    <col min="6" max="6" width="12.81640625" customWidth="1"/>
    <col min="9" max="9" width="24.54296875" customWidth="1"/>
    <col min="10" max="10" width="18.81640625" customWidth="1"/>
    <col min="11" max="11" width="19.54296875" customWidth="1"/>
    <col min="12" max="12" width="27.81640625" customWidth="1"/>
    <col min="13" max="13" width="13.453125" customWidth="1"/>
    <col min="14" max="14" width="10.81640625" bestFit="1" customWidth="1"/>
    <col min="17" max="17" width="14.1796875" customWidth="1"/>
    <col min="18" max="18" width="8.54296875" customWidth="1"/>
    <col min="19" max="19" width="16.81640625" customWidth="1"/>
    <col min="20" max="20" width="14.1796875" customWidth="1"/>
    <col min="22" max="22" width="13.81640625" customWidth="1"/>
    <col min="23" max="23" width="16.1796875" customWidth="1"/>
    <col min="24" max="24" width="10" customWidth="1"/>
    <col min="25" max="25" width="16.1796875" customWidth="1"/>
    <col min="26" max="26" width="14.81640625" customWidth="1"/>
    <col min="28" max="28" width="24.81640625" customWidth="1"/>
    <col min="29" max="29" width="13.1796875" customWidth="1"/>
    <col min="30" max="30" width="13.81640625" customWidth="1"/>
    <col min="31" max="31" width="11.1796875" customWidth="1"/>
    <col min="32" max="32" width="12.453125" customWidth="1"/>
  </cols>
  <sheetData>
    <row r="1" spans="1:46">
      <c r="A1" s="117" t="s">
        <v>235</v>
      </c>
      <c r="D1" s="117" t="s">
        <v>300</v>
      </c>
      <c r="E1" s="117" t="s">
        <v>301</v>
      </c>
      <c r="F1" s="117" t="s">
        <v>300</v>
      </c>
    </row>
    <row r="2" spans="1:46" ht="45" customHeight="1">
      <c r="A2" s="116" t="s">
        <v>215</v>
      </c>
      <c r="D2" s="118" t="s">
        <v>241</v>
      </c>
      <c r="E2" t="str">
        <f>LEFT(D2,2)</f>
        <v>AL</v>
      </c>
      <c r="F2" t="str">
        <f>MID(D2,4,16)</f>
        <v>Alabama</v>
      </c>
      <c r="I2" s="122" t="s">
        <v>302</v>
      </c>
      <c r="J2" s="123" t="s">
        <v>303</v>
      </c>
      <c r="K2" s="124" t="s">
        <v>304</v>
      </c>
      <c r="L2" s="124" t="s">
        <v>305</v>
      </c>
      <c r="M2" s="125" t="s">
        <v>306</v>
      </c>
      <c r="Q2" s="133"/>
      <c r="R2" s="133"/>
      <c r="S2" s="137" t="s">
        <v>322</v>
      </c>
      <c r="T2" s="137" t="s">
        <v>323</v>
      </c>
      <c r="V2" s="460" t="s">
        <v>329</v>
      </c>
      <c r="W2" s="454" t="s">
        <v>330</v>
      </c>
      <c r="X2" s="455"/>
      <c r="Y2" s="133" t="s">
        <v>331</v>
      </c>
      <c r="Z2" s="134"/>
      <c r="AD2" t="s">
        <v>383</v>
      </c>
      <c r="AE2" t="s">
        <v>11</v>
      </c>
      <c r="AF2" t="s">
        <v>384</v>
      </c>
      <c r="AG2" t="s">
        <v>385</v>
      </c>
      <c r="AH2" t="s">
        <v>386</v>
      </c>
      <c r="AI2" t="s">
        <v>387</v>
      </c>
      <c r="AJ2" t="s">
        <v>308</v>
      </c>
      <c r="AK2" t="s">
        <v>388</v>
      </c>
      <c r="AL2" t="s">
        <v>389</v>
      </c>
      <c r="AM2" t="s">
        <v>390</v>
      </c>
      <c r="AN2" t="s">
        <v>391</v>
      </c>
      <c r="AO2" t="s">
        <v>392</v>
      </c>
      <c r="AP2" t="s">
        <v>393</v>
      </c>
      <c r="AQ2" t="s">
        <v>394</v>
      </c>
      <c r="AR2" t="s">
        <v>395</v>
      </c>
      <c r="AS2" t="s">
        <v>396</v>
      </c>
      <c r="AT2" t="s">
        <v>397</v>
      </c>
    </row>
    <row r="3" spans="1:46" ht="18" customHeight="1">
      <c r="A3" s="116" t="s">
        <v>216</v>
      </c>
      <c r="D3" s="118" t="s">
        <v>242</v>
      </c>
      <c r="E3" t="str">
        <f t="shared" ref="E3:E58" si="0">LEFT(D3,2)</f>
        <v>AK</v>
      </c>
      <c r="F3" t="str">
        <f t="shared" ref="F3:F58" si="1">MID(D3,4,16)</f>
        <v>Alaska</v>
      </c>
      <c r="I3" s="126" t="s">
        <v>12</v>
      </c>
      <c r="J3" s="127" t="s">
        <v>3</v>
      </c>
      <c r="K3" s="127">
        <v>3.4119999999999999</v>
      </c>
      <c r="L3" s="127">
        <v>3.14</v>
      </c>
      <c r="M3" s="128">
        <v>10.7</v>
      </c>
      <c r="N3" s="121">
        <f>L3*K3</f>
        <v>10.71368</v>
      </c>
      <c r="Q3" s="132" t="s">
        <v>324</v>
      </c>
      <c r="R3" s="132" t="str">
        <f>LEFT(Q3,3)</f>
        <v>kWh</v>
      </c>
      <c r="S3" s="136">
        <v>3.4119999999999999</v>
      </c>
      <c r="T3" s="139">
        <v>3.5999999999999999E-3</v>
      </c>
      <c r="V3" s="461"/>
      <c r="W3" s="456"/>
      <c r="X3" s="457"/>
      <c r="Y3" s="137" t="s">
        <v>332</v>
      </c>
      <c r="Z3" s="140" t="s">
        <v>333</v>
      </c>
      <c r="AB3" t="str" cm="1">
        <f t="array" ref="AB3:AB25">_xlfn.UNIQUE(W4:W114)</f>
        <v>kBtu (thousand Btu)</v>
      </c>
      <c r="AC3" t="str">
        <f>LEFT(AB3,4)</f>
        <v>kBtu</v>
      </c>
      <c r="AD3">
        <f>_xlfn.IFNA(_xlfn.XLOOKUP(AB3,$W$4:$W$8,$Y$4:$Y$8),)</f>
        <v>1</v>
      </c>
      <c r="AE3">
        <f>_xlfn.IFNA(_xlfn.XLOOKUP(AB3,$W$9:$W$17,$Y$9:$Y$17),)</f>
        <v>1</v>
      </c>
      <c r="AF3">
        <f>_xlfn.IFNA(_xlfn.XLOOKUP(AB3,$W$18:$W$23,$Y$18:$Y$23),)</f>
        <v>1</v>
      </c>
      <c r="AG3">
        <f>_xlfn.IFNA(_xlfn.XLOOKUP(AB3,$W$26:$W$31,$Y$26:$Y$31),)</f>
        <v>1</v>
      </c>
      <c r="AH3">
        <f>_xlfn.IFNA(_xlfn.XLOOKUP(AB3,$W$32:$W$37,$Y$32:$Y$37),)</f>
        <v>1</v>
      </c>
      <c r="AI3">
        <f>_xlfn.IFNA(_xlfn.XLOOKUP(AB3,$W$38:$W$43,$Y$38:$Y$43),)</f>
        <v>1</v>
      </c>
      <c r="AJ3">
        <f>_xlfn.IFNA(_xlfn.XLOOKUP(AB3,$W$44:$W$49,$Y$44:$Y$49),)</f>
        <v>1</v>
      </c>
      <c r="AK3">
        <f>_xlfn.IFNA(_xlfn.XLOOKUP(AB3,$W$50:$W$55,$Y$50:$Y$55),)</f>
        <v>1</v>
      </c>
      <c r="AL3">
        <f>_xlfn.IFNA(_xlfn.XLOOKUP(AB3,$W$58:$W$66,$Y$58:$Y$66),)</f>
        <v>1</v>
      </c>
      <c r="AM3">
        <f>_xlfn.IFNA(_xlfn.XLOOKUP(AB3,$W$67:$W$74,$Y$67:$Y$74),)</f>
        <v>1</v>
      </c>
      <c r="AN3">
        <f>_xlfn.IFNA(_xlfn.XLOOKUP(AB3,$W$75:$W$78,$Y$75:$Y$78),)</f>
        <v>1</v>
      </c>
      <c r="AO3">
        <f>_xlfn.IFNA(_xlfn.XLOOKUP(AB3,$W$79:$W$82,$Y$79:$Y$82),)</f>
        <v>1</v>
      </c>
      <c r="AP3">
        <f>_xlfn.IFNA(_xlfn.XLOOKUP(AB3,$W$83:$W$90,$Y$83:$Y$90),)</f>
        <v>1</v>
      </c>
      <c r="AQ3">
        <f>_xlfn.IFNA(_xlfn.XLOOKUP(AB3,$W$93:$W$100,$Y$93:$Y$100),)</f>
        <v>1</v>
      </c>
      <c r="AR3">
        <f>_xlfn.IFNA(_xlfn.XLOOKUP(AB3,$W$101:$W$108,$Y$101:$Y$108),)</f>
        <v>1</v>
      </c>
      <c r="AS3">
        <f>_xlfn.IFNA(_xlfn.XLOOKUP(AB3,$W$109:$W$113,$Y$109:$Y$113),)</f>
        <v>1</v>
      </c>
      <c r="AT3">
        <f>_xlfn.IFNA(_xlfn.XLOOKUP(AB3,$W$114,$Y$114),)</f>
        <v>1</v>
      </c>
    </row>
    <row r="4" spans="1:46" ht="15" customHeight="1">
      <c r="A4" s="116" t="s">
        <v>217</v>
      </c>
      <c r="D4" s="118" t="s">
        <v>243</v>
      </c>
      <c r="E4" t="str">
        <f t="shared" si="0"/>
        <v>AZ</v>
      </c>
      <c r="F4" t="str">
        <f t="shared" si="1"/>
        <v>Arizona</v>
      </c>
      <c r="I4" s="126" t="s">
        <v>11</v>
      </c>
      <c r="J4" s="127" t="s">
        <v>112</v>
      </c>
      <c r="K4" s="127">
        <v>100</v>
      </c>
      <c r="L4" s="127">
        <v>1.05</v>
      </c>
      <c r="M4" s="128">
        <v>105</v>
      </c>
      <c r="N4" s="121">
        <f>L4*K4</f>
        <v>105</v>
      </c>
      <c r="Q4" s="132" t="s">
        <v>325</v>
      </c>
      <c r="R4" s="132" t="str">
        <f>LEFT(Q4,3)</f>
        <v>MWh</v>
      </c>
      <c r="S4" s="135">
        <v>3412</v>
      </c>
      <c r="T4" s="138">
        <v>3.6</v>
      </c>
      <c r="V4" s="448" t="s">
        <v>334</v>
      </c>
      <c r="W4" s="147" t="s">
        <v>326</v>
      </c>
      <c r="X4" s="148" t="str">
        <f>LEFT(W4,4)</f>
        <v>kBtu</v>
      </c>
      <c r="Y4" s="173">
        <v>1</v>
      </c>
      <c r="Z4" s="189" t="s">
        <v>335</v>
      </c>
      <c r="AB4" t="str">
        <v>MBtu/MMBtu (million Btu)</v>
      </c>
      <c r="AC4" t="str">
        <f>LEFT(AB4,11)</f>
        <v xml:space="preserve">MBtu/MMBtu </v>
      </c>
      <c r="AD4">
        <f>_xlfn.IFNA(_xlfn.XLOOKUP(AB4,$W$4:$W$8,$Y$4:$Y$8),)</f>
        <v>1000</v>
      </c>
      <c r="AE4">
        <f t="shared" ref="AE4:AE25" si="2">_xlfn.IFNA(_xlfn.XLOOKUP(AB4,$W$9:$W$17,$Y$9:$Y$17),)</f>
        <v>1000</v>
      </c>
      <c r="AF4">
        <f t="shared" ref="AF4:AF25" si="3">_xlfn.IFNA(_xlfn.XLOOKUP(AB4,$W$18:$W$23,$Y$18:$Y$23),)</f>
        <v>1000</v>
      </c>
      <c r="AG4">
        <f t="shared" ref="AG4:AG25" si="4">_xlfn.IFNA(_xlfn.XLOOKUP(AB4,$W$26:$W$31,$Y$26:$Y$31),)</f>
        <v>1000</v>
      </c>
      <c r="AH4">
        <f t="shared" ref="AH4:AH25" si="5">_xlfn.IFNA(_xlfn.XLOOKUP(AB4,$W$32:$W$37,$Y$32:$Y$37),)</f>
        <v>1000</v>
      </c>
      <c r="AI4">
        <f t="shared" ref="AI4:AI25" si="6">_xlfn.IFNA(_xlfn.XLOOKUP(AB4,$W$38:$W$43,$Y$38:$Y$43),)</f>
        <v>1000</v>
      </c>
      <c r="AJ4">
        <f t="shared" ref="AJ4:AJ25" si="7">_xlfn.IFNA(_xlfn.XLOOKUP(AB4,$W$44:$W$49,$Y$44:$Y$49),)</f>
        <v>1000</v>
      </c>
      <c r="AK4">
        <f t="shared" ref="AK4:AK25" si="8">_xlfn.IFNA(_xlfn.XLOOKUP(AB4,$W$50:$W$55,$Y$50:$Y$55),)</f>
        <v>1000</v>
      </c>
      <c r="AL4">
        <f t="shared" ref="AL4:AL25" si="9">_xlfn.IFNA(_xlfn.XLOOKUP(AB4,$W$58:$W$66,$Y$58:$Y$66),)</f>
        <v>1000</v>
      </c>
      <c r="AM4">
        <f t="shared" ref="AM4:AM25" si="10">_xlfn.IFNA(_xlfn.XLOOKUP(AB4,$W$67:$W$74,$Y$67:$Y$74),)</f>
        <v>1000</v>
      </c>
      <c r="AN4">
        <f t="shared" ref="AN4:AN25" si="11">_xlfn.IFNA(_xlfn.XLOOKUP(AB4,$W$75:$W$78,$Y$75:$Y$78),)</f>
        <v>1000</v>
      </c>
      <c r="AO4">
        <f t="shared" ref="AO4:AO25" si="12">_xlfn.IFNA(_xlfn.XLOOKUP(AB4,$W$79:$W$82,$Y$79:$Y$82),)</f>
        <v>1000</v>
      </c>
      <c r="AP4">
        <f t="shared" ref="AP4:AP25" si="13">_xlfn.IFNA(_xlfn.XLOOKUP(AB4,$W$83:$W$90,$Y$83:$Y$90),)</f>
        <v>1000</v>
      </c>
      <c r="AQ4">
        <f t="shared" ref="AQ4:AQ25" si="14">_xlfn.IFNA(_xlfn.XLOOKUP(AB4,$W$93:$W$100,$Y$93:$Y$100),)</f>
        <v>1000</v>
      </c>
      <c r="AR4">
        <f t="shared" ref="AR4:AR25" si="15">_xlfn.IFNA(_xlfn.XLOOKUP(AB4,$W$101:$W$108,$Y$101:$Y$108),)</f>
        <v>1000</v>
      </c>
      <c r="AS4">
        <f t="shared" ref="AS4:AS25" si="16">_xlfn.IFNA(_xlfn.XLOOKUP(AB4,$W$109:$W$113,$Y$109:$Y$113),)</f>
        <v>1000</v>
      </c>
      <c r="AT4">
        <f t="shared" ref="AT4:AT25" si="17">_xlfn.IFNA(_xlfn.XLOOKUP(AB4,$W$114,$Y$114),)</f>
        <v>0</v>
      </c>
    </row>
    <row r="5" spans="1:46" ht="24.75" customHeight="1">
      <c r="A5" s="116" t="s">
        <v>218</v>
      </c>
      <c r="D5" s="118" t="s">
        <v>244</v>
      </c>
      <c r="E5" t="str">
        <f t="shared" si="0"/>
        <v>AR</v>
      </c>
      <c r="F5" t="str">
        <f t="shared" si="1"/>
        <v>Arkansas</v>
      </c>
      <c r="I5" s="126" t="s">
        <v>11</v>
      </c>
      <c r="J5" s="127" t="s">
        <v>321</v>
      </c>
      <c r="K5" s="127">
        <v>102.8</v>
      </c>
      <c r="L5" s="127">
        <v>1.05</v>
      </c>
      <c r="M5" s="128">
        <v>107.1</v>
      </c>
      <c r="N5" s="121">
        <f t="shared" ref="N5:N14" si="18">L6*K6</f>
        <v>107.94</v>
      </c>
      <c r="Q5" s="132" t="s">
        <v>326</v>
      </c>
      <c r="R5" s="132" t="str">
        <f>LEFT(Q5,4)</f>
        <v>kBtu</v>
      </c>
      <c r="S5" s="135">
        <v>1</v>
      </c>
      <c r="T5" s="139">
        <v>1.06E-3</v>
      </c>
      <c r="V5" s="449"/>
      <c r="W5" s="147" t="s">
        <v>327</v>
      </c>
      <c r="X5" s="148" t="str">
        <f>LEFT(W5,10)</f>
        <v>MBtu/MMBtu</v>
      </c>
      <c r="Y5" s="172">
        <v>1000</v>
      </c>
      <c r="Z5" s="190"/>
      <c r="AB5" t="str">
        <v>kWh (thousand Watt-hours)</v>
      </c>
      <c r="AC5" t="str">
        <f>LEFT(AB5,3)</f>
        <v>kWh</v>
      </c>
      <c r="AD5">
        <f>_xlfn.IFNA(_xlfn.XLOOKUP(AB5,$W$4:$W$8,$Y$4:$Y$8),)</f>
        <v>3.4119999999999999</v>
      </c>
      <c r="AE5">
        <f t="shared" si="2"/>
        <v>0</v>
      </c>
      <c r="AF5">
        <f t="shared" si="3"/>
        <v>0</v>
      </c>
      <c r="AG5">
        <f t="shared" si="4"/>
        <v>0</v>
      </c>
      <c r="AH5">
        <f t="shared" si="5"/>
        <v>0</v>
      </c>
      <c r="AI5">
        <f t="shared" si="6"/>
        <v>0</v>
      </c>
      <c r="AJ5">
        <f t="shared" si="7"/>
        <v>0</v>
      </c>
      <c r="AK5">
        <f t="shared" si="8"/>
        <v>0</v>
      </c>
      <c r="AL5">
        <f t="shared" si="9"/>
        <v>0</v>
      </c>
      <c r="AM5">
        <f t="shared" si="10"/>
        <v>0</v>
      </c>
      <c r="AN5">
        <f t="shared" si="11"/>
        <v>0</v>
      </c>
      <c r="AO5">
        <f t="shared" si="12"/>
        <v>0</v>
      </c>
      <c r="AP5">
        <f t="shared" si="13"/>
        <v>0</v>
      </c>
      <c r="AQ5">
        <f t="shared" si="14"/>
        <v>0</v>
      </c>
      <c r="AR5">
        <f t="shared" si="15"/>
        <v>0</v>
      </c>
      <c r="AS5">
        <f t="shared" si="16"/>
        <v>0</v>
      </c>
      <c r="AT5">
        <f t="shared" si="17"/>
        <v>0</v>
      </c>
    </row>
    <row r="6" spans="1:46" ht="15" customHeight="1">
      <c r="A6" s="116" t="s">
        <v>219</v>
      </c>
      <c r="D6" s="118" t="s">
        <v>245</v>
      </c>
      <c r="E6" t="str">
        <f t="shared" si="0"/>
        <v>CA</v>
      </c>
      <c r="F6" t="str">
        <f t="shared" si="1"/>
        <v>California</v>
      </c>
      <c r="I6" s="126" t="s">
        <v>11</v>
      </c>
      <c r="J6" s="127" t="s">
        <v>307</v>
      </c>
      <c r="K6" s="127">
        <v>102.8</v>
      </c>
      <c r="L6" s="127">
        <v>1.05</v>
      </c>
      <c r="M6" s="128">
        <v>107.1</v>
      </c>
      <c r="N6" s="121">
        <f t="shared" si="18"/>
        <v>139.38</v>
      </c>
      <c r="Q6" s="458" t="s">
        <v>327</v>
      </c>
      <c r="R6" s="132" t="str">
        <f>LEFT(Q6,4)</f>
        <v>MBtu</v>
      </c>
      <c r="S6" s="135">
        <v>1000</v>
      </c>
      <c r="T6" s="138">
        <v>1.06</v>
      </c>
      <c r="V6" s="449"/>
      <c r="W6" s="147" t="s">
        <v>324</v>
      </c>
      <c r="X6" s="148" t="str">
        <f>LEFT(W6,3)</f>
        <v>kWh</v>
      </c>
      <c r="Y6" s="168">
        <v>3.4119999999999999</v>
      </c>
      <c r="Z6" s="190"/>
      <c r="AB6" t="str">
        <v>MWh (million Watt-hours)</v>
      </c>
      <c r="AC6" t="str">
        <f>LEFT(AB6,3)</f>
        <v>MWh</v>
      </c>
      <c r="AD6">
        <f>_xlfn.IFNA(_xlfn.XLOOKUP(AB6,$W$4:$W$8,$Y$4:$Y$8),)</f>
        <v>3412</v>
      </c>
      <c r="AE6">
        <f t="shared" si="2"/>
        <v>0</v>
      </c>
      <c r="AF6">
        <f t="shared" si="3"/>
        <v>0</v>
      </c>
      <c r="AG6">
        <f t="shared" si="4"/>
        <v>0</v>
      </c>
      <c r="AH6">
        <f t="shared" si="5"/>
        <v>0</v>
      </c>
      <c r="AI6">
        <f t="shared" si="6"/>
        <v>0</v>
      </c>
      <c r="AJ6">
        <f t="shared" si="7"/>
        <v>0</v>
      </c>
      <c r="AK6">
        <f t="shared" si="8"/>
        <v>0</v>
      </c>
      <c r="AL6">
        <f t="shared" si="9"/>
        <v>0</v>
      </c>
      <c r="AM6">
        <f t="shared" si="10"/>
        <v>0</v>
      </c>
      <c r="AN6">
        <f t="shared" si="11"/>
        <v>0</v>
      </c>
      <c r="AO6">
        <f t="shared" si="12"/>
        <v>0</v>
      </c>
      <c r="AP6">
        <f t="shared" si="13"/>
        <v>0</v>
      </c>
      <c r="AQ6">
        <f t="shared" si="14"/>
        <v>0</v>
      </c>
      <c r="AR6">
        <f t="shared" si="15"/>
        <v>0</v>
      </c>
      <c r="AS6">
        <f t="shared" si="16"/>
        <v>0</v>
      </c>
      <c r="AT6">
        <f t="shared" si="17"/>
        <v>0</v>
      </c>
    </row>
    <row r="7" spans="1:46" ht="15" customHeight="1">
      <c r="A7" s="116" t="s">
        <v>220</v>
      </c>
      <c r="D7" s="118" t="s">
        <v>246</v>
      </c>
      <c r="E7" t="str">
        <f t="shared" si="0"/>
        <v>CO</v>
      </c>
      <c r="F7" t="str">
        <f t="shared" si="1"/>
        <v>Colorado</v>
      </c>
      <c r="I7" s="126" t="s">
        <v>308</v>
      </c>
      <c r="J7" s="127" t="s">
        <v>309</v>
      </c>
      <c r="K7" s="127">
        <v>138</v>
      </c>
      <c r="L7" s="127">
        <v>1.01</v>
      </c>
      <c r="M7" s="128">
        <v>139.4</v>
      </c>
      <c r="N7" s="121">
        <f t="shared" si="18"/>
        <v>91.91</v>
      </c>
      <c r="Q7" s="459"/>
      <c r="R7" s="132" t="s">
        <v>2</v>
      </c>
      <c r="S7" s="135">
        <f>S6</f>
        <v>1000</v>
      </c>
      <c r="T7" s="138">
        <f>T6</f>
        <v>1.06</v>
      </c>
      <c r="V7" s="449"/>
      <c r="W7" s="147" t="s">
        <v>325</v>
      </c>
      <c r="X7" s="148" t="str">
        <f>LEFT(W7,3)</f>
        <v>MWh</v>
      </c>
      <c r="Y7" s="172">
        <v>3412</v>
      </c>
      <c r="Z7" s="190"/>
      <c r="AB7" t="str">
        <v>GJ (billion joules)</v>
      </c>
      <c r="AC7" t="str">
        <f>LEFT(AB7,2)</f>
        <v>GJ</v>
      </c>
      <c r="AD7">
        <f>_xlfn.IFNA(_xlfn.XLOOKUP(AB7,$W$4:$W$8,$Y$4:$Y$8),)</f>
        <v>947.81700000000001</v>
      </c>
      <c r="AE7">
        <f t="shared" si="2"/>
        <v>947.81700000000001</v>
      </c>
      <c r="AF7">
        <f t="shared" si="3"/>
        <v>947.81700000000001</v>
      </c>
      <c r="AG7">
        <f t="shared" si="4"/>
        <v>947.81700000000001</v>
      </c>
      <c r="AH7">
        <f t="shared" si="5"/>
        <v>947.81700000000001</v>
      </c>
      <c r="AI7">
        <f t="shared" si="6"/>
        <v>947.81700000000001</v>
      </c>
      <c r="AJ7">
        <f t="shared" si="7"/>
        <v>947.81700000000001</v>
      </c>
      <c r="AK7">
        <f t="shared" si="8"/>
        <v>947.81700000000001</v>
      </c>
      <c r="AL7">
        <f t="shared" si="9"/>
        <v>947.81700000000001</v>
      </c>
      <c r="AM7">
        <f t="shared" si="10"/>
        <v>947.81700000000001</v>
      </c>
      <c r="AN7">
        <f t="shared" si="11"/>
        <v>947.81700000000001</v>
      </c>
      <c r="AO7">
        <f t="shared" si="12"/>
        <v>947.81700000000001</v>
      </c>
      <c r="AP7">
        <f t="shared" si="13"/>
        <v>947.81700000000001</v>
      </c>
      <c r="AQ7">
        <f t="shared" si="14"/>
        <v>947.81700000000001</v>
      </c>
      <c r="AR7">
        <f t="shared" si="15"/>
        <v>947.81700000000001</v>
      </c>
      <c r="AS7">
        <f t="shared" si="16"/>
        <v>947.81700000000001</v>
      </c>
      <c r="AT7">
        <f t="shared" si="17"/>
        <v>0</v>
      </c>
    </row>
    <row r="8" spans="1:46" ht="15" customHeight="1">
      <c r="A8" s="116" t="s">
        <v>221</v>
      </c>
      <c r="D8" s="118" t="s">
        <v>247</v>
      </c>
      <c r="E8" t="str">
        <f t="shared" si="0"/>
        <v>CT</v>
      </c>
      <c r="F8" t="str">
        <f t="shared" si="1"/>
        <v>Connecticut</v>
      </c>
      <c r="I8" s="126" t="s">
        <v>310</v>
      </c>
      <c r="J8" s="127" t="s">
        <v>309</v>
      </c>
      <c r="K8" s="127">
        <v>91</v>
      </c>
      <c r="L8" s="127">
        <v>1.01</v>
      </c>
      <c r="M8" s="128">
        <v>91.9</v>
      </c>
      <c r="N8" s="121">
        <f t="shared" si="18"/>
        <v>0.68680000000000008</v>
      </c>
      <c r="Q8" s="132" t="s">
        <v>328</v>
      </c>
      <c r="R8" s="132" t="str">
        <f>LEFT(Q8,2)</f>
        <v>GJ</v>
      </c>
      <c r="S8" s="136">
        <v>947.81700000000001</v>
      </c>
      <c r="T8" s="135">
        <v>1</v>
      </c>
      <c r="V8" s="450"/>
      <c r="W8" s="147" t="s">
        <v>328</v>
      </c>
      <c r="X8" s="148" t="str">
        <f>LEFT(W8,2)</f>
        <v>GJ</v>
      </c>
      <c r="Y8" s="168">
        <v>947.81700000000001</v>
      </c>
      <c r="Z8" s="191"/>
      <c r="AB8" t="str">
        <v>cf (cubic feet)</v>
      </c>
      <c r="AC8" t="str">
        <f>LEFT(AB8,2)</f>
        <v>cf</v>
      </c>
      <c r="AD8">
        <f t="shared" ref="AD8:AD25" si="19">_xlfn.IFNA(_xlfn.XLOOKUP(AB8,$W$4:$W$8,$Y$4:$Y$8),)</f>
        <v>0</v>
      </c>
      <c r="AE8">
        <f t="shared" si="2"/>
        <v>1.026</v>
      </c>
      <c r="AF8">
        <f t="shared" si="3"/>
        <v>0</v>
      </c>
      <c r="AG8">
        <f t="shared" si="4"/>
        <v>0</v>
      </c>
      <c r="AH8">
        <f t="shared" si="5"/>
        <v>0</v>
      </c>
      <c r="AI8">
        <f t="shared" si="6"/>
        <v>0</v>
      </c>
      <c r="AJ8">
        <f t="shared" si="7"/>
        <v>0</v>
      </c>
      <c r="AK8">
        <f t="shared" si="8"/>
        <v>0</v>
      </c>
      <c r="AL8">
        <f t="shared" si="9"/>
        <v>2.516</v>
      </c>
      <c r="AM8">
        <f t="shared" si="10"/>
        <v>0</v>
      </c>
      <c r="AN8">
        <f t="shared" si="11"/>
        <v>0</v>
      </c>
      <c r="AO8">
        <f t="shared" si="12"/>
        <v>0</v>
      </c>
      <c r="AP8">
        <f t="shared" si="13"/>
        <v>0</v>
      </c>
      <c r="AQ8">
        <f t="shared" si="14"/>
        <v>0</v>
      </c>
      <c r="AR8">
        <f t="shared" si="15"/>
        <v>0</v>
      </c>
      <c r="AS8">
        <f t="shared" si="16"/>
        <v>0</v>
      </c>
      <c r="AT8">
        <f t="shared" si="17"/>
        <v>0</v>
      </c>
    </row>
    <row r="9" spans="1:46" ht="15" customHeight="1">
      <c r="A9" s="116" t="s">
        <v>222</v>
      </c>
      <c r="D9" s="118" t="s">
        <v>248</v>
      </c>
      <c r="E9" t="str">
        <f t="shared" si="0"/>
        <v>DE</v>
      </c>
      <c r="F9" t="str">
        <f t="shared" si="1"/>
        <v>Delaware</v>
      </c>
      <c r="I9" s="126" t="s">
        <v>310</v>
      </c>
      <c r="J9" s="127" t="s">
        <v>311</v>
      </c>
      <c r="K9" s="127">
        <v>0.68</v>
      </c>
      <c r="L9" s="127">
        <v>1.01</v>
      </c>
      <c r="M9" s="128">
        <v>0.69</v>
      </c>
      <c r="N9" s="121">
        <f t="shared" si="18"/>
        <v>12.5</v>
      </c>
      <c r="V9" s="451" t="s">
        <v>336</v>
      </c>
      <c r="W9" s="132" t="s">
        <v>326</v>
      </c>
      <c r="X9" s="148" t="str">
        <f>LEFT(W9,4)</f>
        <v>kBtu</v>
      </c>
      <c r="Y9" s="135">
        <v>1</v>
      </c>
      <c r="Z9" s="185" t="s">
        <v>337</v>
      </c>
      <c r="AB9" t="str">
        <v>Ccf (hundred cubic feet)</v>
      </c>
      <c r="AC9" t="str">
        <f>LEFT(AB9,3)</f>
        <v>Ccf</v>
      </c>
      <c r="AD9">
        <f t="shared" si="19"/>
        <v>0</v>
      </c>
      <c r="AE9">
        <f t="shared" si="2"/>
        <v>102.6</v>
      </c>
      <c r="AF9">
        <f t="shared" si="3"/>
        <v>0</v>
      </c>
      <c r="AG9">
        <f t="shared" si="4"/>
        <v>0</v>
      </c>
      <c r="AH9">
        <f t="shared" si="5"/>
        <v>0</v>
      </c>
      <c r="AI9">
        <f t="shared" si="6"/>
        <v>0</v>
      </c>
      <c r="AJ9">
        <f t="shared" si="7"/>
        <v>0</v>
      </c>
      <c r="AK9">
        <f t="shared" si="8"/>
        <v>0</v>
      </c>
      <c r="AL9">
        <f t="shared" si="9"/>
        <v>251.6</v>
      </c>
      <c r="AM9">
        <f t="shared" si="10"/>
        <v>0</v>
      </c>
      <c r="AN9">
        <f t="shared" si="11"/>
        <v>0</v>
      </c>
      <c r="AO9">
        <f t="shared" si="12"/>
        <v>0</v>
      </c>
      <c r="AP9">
        <f t="shared" si="13"/>
        <v>0</v>
      </c>
      <c r="AQ9">
        <f t="shared" si="14"/>
        <v>0</v>
      </c>
      <c r="AR9">
        <f t="shared" si="15"/>
        <v>0</v>
      </c>
      <c r="AS9">
        <f t="shared" si="16"/>
        <v>0</v>
      </c>
      <c r="AT9">
        <f t="shared" si="17"/>
        <v>0</v>
      </c>
    </row>
    <row r="10" spans="1:46" ht="16.5" customHeight="1">
      <c r="A10" s="116" t="s">
        <v>223</v>
      </c>
      <c r="D10" s="118" t="s">
        <v>249</v>
      </c>
      <c r="E10" t="str">
        <f t="shared" si="0"/>
        <v>FL</v>
      </c>
      <c r="F10" t="str">
        <f t="shared" si="1"/>
        <v>Florida</v>
      </c>
      <c r="I10" s="126" t="s">
        <v>312</v>
      </c>
      <c r="J10" s="127" t="s">
        <v>313</v>
      </c>
      <c r="K10" s="127">
        <v>12.5</v>
      </c>
      <c r="L10" s="127">
        <v>1</v>
      </c>
      <c r="M10" s="128">
        <v>12.5</v>
      </c>
      <c r="N10" s="121">
        <f t="shared" si="18"/>
        <v>25000</v>
      </c>
      <c r="V10" s="452"/>
      <c r="W10" s="132" t="s">
        <v>327</v>
      </c>
      <c r="X10" s="148" t="str">
        <f>LEFT(W10,10)</f>
        <v>MBtu/MMBtu</v>
      </c>
      <c r="Y10" s="180">
        <v>1000</v>
      </c>
      <c r="Z10" s="186"/>
      <c r="AB10" t="str">
        <v>Kcf (thousand cubic feet)</v>
      </c>
      <c r="AC10" t="str">
        <f>LEFT(AB10,3)</f>
        <v>Kcf</v>
      </c>
      <c r="AD10">
        <f t="shared" si="19"/>
        <v>0</v>
      </c>
      <c r="AE10">
        <f t="shared" si="2"/>
        <v>1026</v>
      </c>
      <c r="AF10">
        <f t="shared" si="3"/>
        <v>0</v>
      </c>
      <c r="AG10">
        <f t="shared" si="4"/>
        <v>0</v>
      </c>
      <c r="AH10">
        <f t="shared" si="5"/>
        <v>0</v>
      </c>
      <c r="AI10">
        <f t="shared" si="6"/>
        <v>0</v>
      </c>
      <c r="AJ10">
        <f t="shared" si="7"/>
        <v>0</v>
      </c>
      <c r="AK10">
        <f t="shared" si="8"/>
        <v>0</v>
      </c>
      <c r="AL10">
        <f t="shared" si="9"/>
        <v>2516</v>
      </c>
      <c r="AM10">
        <f t="shared" si="10"/>
        <v>0</v>
      </c>
      <c r="AN10">
        <f t="shared" si="11"/>
        <v>0</v>
      </c>
      <c r="AO10">
        <f t="shared" si="12"/>
        <v>0</v>
      </c>
      <c r="AP10">
        <f t="shared" si="13"/>
        <v>0</v>
      </c>
      <c r="AQ10">
        <f t="shared" si="14"/>
        <v>0</v>
      </c>
      <c r="AR10">
        <f t="shared" si="15"/>
        <v>0</v>
      </c>
      <c r="AS10">
        <f t="shared" si="16"/>
        <v>0</v>
      </c>
      <c r="AT10">
        <f t="shared" si="17"/>
        <v>0</v>
      </c>
    </row>
    <row r="11" spans="1:46" ht="15" customHeight="1">
      <c r="A11" s="116" t="s">
        <v>224</v>
      </c>
      <c r="D11" s="118" t="s">
        <v>250</v>
      </c>
      <c r="E11" t="str">
        <f t="shared" si="0"/>
        <v>GA</v>
      </c>
      <c r="F11" t="str">
        <f t="shared" si="1"/>
        <v>Georgia</v>
      </c>
      <c r="I11" s="126" t="s">
        <v>312</v>
      </c>
      <c r="J11" s="127" t="s">
        <v>314</v>
      </c>
      <c r="K11" s="127">
        <v>25000</v>
      </c>
      <c r="L11" s="127">
        <v>1</v>
      </c>
      <c r="M11" s="128">
        <v>25000</v>
      </c>
      <c r="N11" s="121">
        <f t="shared" si="18"/>
        <v>1.4327999999999999</v>
      </c>
      <c r="V11" s="452"/>
      <c r="W11" s="132" t="s">
        <v>338</v>
      </c>
      <c r="X11" s="148" t="str">
        <f>LEFT(W11,2)</f>
        <v>cf</v>
      </c>
      <c r="Y11" s="136">
        <v>1.026</v>
      </c>
      <c r="Z11" s="186"/>
      <c r="AB11" t="str">
        <v>Mcf (million cubic feet)</v>
      </c>
      <c r="AC11" t="str">
        <f>LEFT(AB11,3)</f>
        <v>Mcf</v>
      </c>
      <c r="AD11">
        <f t="shared" si="19"/>
        <v>0</v>
      </c>
      <c r="AE11">
        <f t="shared" si="2"/>
        <v>102.8</v>
      </c>
      <c r="AF11">
        <f t="shared" si="3"/>
        <v>0</v>
      </c>
      <c r="AG11">
        <f t="shared" si="4"/>
        <v>0</v>
      </c>
      <c r="AH11">
        <f t="shared" si="5"/>
        <v>0</v>
      </c>
      <c r="AI11">
        <f t="shared" si="6"/>
        <v>0</v>
      </c>
      <c r="AJ11">
        <f t="shared" si="7"/>
        <v>0</v>
      </c>
      <c r="AK11">
        <f t="shared" si="8"/>
        <v>0</v>
      </c>
      <c r="AL11">
        <f t="shared" si="9"/>
        <v>0</v>
      </c>
      <c r="AM11">
        <f t="shared" si="10"/>
        <v>0</v>
      </c>
      <c r="AN11">
        <f t="shared" si="11"/>
        <v>0</v>
      </c>
      <c r="AO11">
        <f t="shared" si="12"/>
        <v>0</v>
      </c>
      <c r="AP11">
        <f t="shared" si="13"/>
        <v>0</v>
      </c>
      <c r="AQ11">
        <f t="shared" si="14"/>
        <v>0</v>
      </c>
      <c r="AR11">
        <f t="shared" si="15"/>
        <v>0</v>
      </c>
      <c r="AS11">
        <f t="shared" si="16"/>
        <v>0</v>
      </c>
      <c r="AT11">
        <f t="shared" si="17"/>
        <v>0</v>
      </c>
    </row>
    <row r="12" spans="1:46" ht="15.75" customHeight="1">
      <c r="A12" s="116" t="s">
        <v>225</v>
      </c>
      <c r="D12" s="118" t="s">
        <v>251</v>
      </c>
      <c r="E12" t="str">
        <f t="shared" si="0"/>
        <v>HI</v>
      </c>
      <c r="F12" t="str">
        <f t="shared" si="1"/>
        <v>Hawaii</v>
      </c>
      <c r="I12" s="126" t="s">
        <v>315</v>
      </c>
      <c r="J12" s="127" t="s">
        <v>316</v>
      </c>
      <c r="K12" s="127">
        <v>1.194</v>
      </c>
      <c r="L12" s="127">
        <v>1.2</v>
      </c>
      <c r="M12" s="128">
        <v>1.21</v>
      </c>
      <c r="N12" s="121">
        <f t="shared" si="18"/>
        <v>1432.8</v>
      </c>
      <c r="V12" s="452"/>
      <c r="W12" s="132" t="s">
        <v>339</v>
      </c>
      <c r="X12" s="148" t="str">
        <f>LEFT(W12,3)</f>
        <v>Ccf</v>
      </c>
      <c r="Y12" s="181">
        <v>102.6</v>
      </c>
      <c r="Z12" s="186"/>
      <c r="AB12" t="str">
        <v>Therms</v>
      </c>
      <c r="AC12" t="str">
        <f>LEFT(AB12,6)</f>
        <v>Therms</v>
      </c>
      <c r="AD12">
        <f t="shared" si="19"/>
        <v>0</v>
      </c>
      <c r="AE12">
        <f t="shared" si="2"/>
        <v>100</v>
      </c>
      <c r="AF12">
        <f t="shared" si="3"/>
        <v>0</v>
      </c>
      <c r="AG12">
        <f t="shared" si="4"/>
        <v>0</v>
      </c>
      <c r="AH12">
        <f t="shared" si="5"/>
        <v>0</v>
      </c>
      <c r="AI12">
        <f t="shared" si="6"/>
        <v>0</v>
      </c>
      <c r="AJ12">
        <f t="shared" si="7"/>
        <v>0</v>
      </c>
      <c r="AK12">
        <f t="shared" si="8"/>
        <v>0</v>
      </c>
      <c r="AL12">
        <f t="shared" si="9"/>
        <v>0</v>
      </c>
      <c r="AM12">
        <f t="shared" si="10"/>
        <v>100</v>
      </c>
      <c r="AN12">
        <f t="shared" si="11"/>
        <v>100</v>
      </c>
      <c r="AO12">
        <f t="shared" si="12"/>
        <v>0</v>
      </c>
      <c r="AP12">
        <f t="shared" si="13"/>
        <v>0</v>
      </c>
      <c r="AQ12">
        <f t="shared" si="14"/>
        <v>0</v>
      </c>
      <c r="AR12">
        <f t="shared" si="15"/>
        <v>0</v>
      </c>
      <c r="AS12">
        <f t="shared" si="16"/>
        <v>0</v>
      </c>
      <c r="AT12">
        <f t="shared" si="17"/>
        <v>0</v>
      </c>
    </row>
    <row r="13" spans="1:46" ht="15" customHeight="1">
      <c r="A13" s="116" t="s">
        <v>226</v>
      </c>
      <c r="D13" s="118" t="s">
        <v>252</v>
      </c>
      <c r="E13" t="str">
        <f t="shared" si="0"/>
        <v>ID</v>
      </c>
      <c r="F13" t="str">
        <f t="shared" si="1"/>
        <v>Idaho</v>
      </c>
      <c r="I13" s="126" t="s">
        <v>315</v>
      </c>
      <c r="J13" s="127" t="s">
        <v>317</v>
      </c>
      <c r="K13" s="127">
        <v>1194</v>
      </c>
      <c r="L13" s="127">
        <v>1.2</v>
      </c>
      <c r="M13" s="128">
        <v>1432.8</v>
      </c>
      <c r="N13" s="121">
        <f t="shared" si="18"/>
        <v>12</v>
      </c>
      <c r="V13" s="452"/>
      <c r="W13" s="132" t="s">
        <v>340</v>
      </c>
      <c r="X13" s="148" t="str">
        <f>LEFT(W13,3)</f>
        <v>Kcf</v>
      </c>
      <c r="Y13" s="180">
        <v>1026</v>
      </c>
      <c r="Z13" s="186"/>
      <c r="AB13" t="str">
        <v>cubic meters</v>
      </c>
      <c r="AC13" t="str">
        <f>LEFT(AB13,12)</f>
        <v>cubic meters</v>
      </c>
      <c r="AD13">
        <f t="shared" si="19"/>
        <v>0</v>
      </c>
      <c r="AE13">
        <f t="shared" si="2"/>
        <v>36.302999999999997</v>
      </c>
      <c r="AF13">
        <f t="shared" si="3"/>
        <v>0</v>
      </c>
      <c r="AG13">
        <f t="shared" si="4"/>
        <v>0</v>
      </c>
      <c r="AH13">
        <f t="shared" si="5"/>
        <v>0</v>
      </c>
      <c r="AI13">
        <f t="shared" si="6"/>
        <v>0</v>
      </c>
      <c r="AJ13">
        <f t="shared" si="7"/>
        <v>0</v>
      </c>
      <c r="AK13">
        <f t="shared" si="8"/>
        <v>0</v>
      </c>
      <c r="AL13">
        <f t="shared" si="9"/>
        <v>0</v>
      </c>
      <c r="AM13">
        <f t="shared" si="10"/>
        <v>0</v>
      </c>
      <c r="AN13">
        <f t="shared" si="11"/>
        <v>0</v>
      </c>
      <c r="AO13">
        <f t="shared" si="12"/>
        <v>0</v>
      </c>
      <c r="AP13">
        <f t="shared" si="13"/>
        <v>0</v>
      </c>
      <c r="AQ13">
        <f t="shared" si="14"/>
        <v>0</v>
      </c>
      <c r="AR13">
        <f t="shared" si="15"/>
        <v>0</v>
      </c>
      <c r="AS13">
        <f t="shared" si="16"/>
        <v>0</v>
      </c>
      <c r="AT13">
        <f t="shared" si="17"/>
        <v>0</v>
      </c>
    </row>
    <row r="14" spans="1:46" ht="13.5" customHeight="1">
      <c r="A14" s="116" t="s">
        <v>227</v>
      </c>
      <c r="D14" s="118" t="s">
        <v>253</v>
      </c>
      <c r="E14" t="str">
        <f t="shared" si="0"/>
        <v>IL</v>
      </c>
      <c r="F14" t="str">
        <f t="shared" si="1"/>
        <v>Illinois</v>
      </c>
      <c r="I14" s="126" t="s">
        <v>318</v>
      </c>
      <c r="J14" s="127" t="s">
        <v>319</v>
      </c>
      <c r="K14" s="127">
        <v>12</v>
      </c>
      <c r="L14" s="127">
        <v>1</v>
      </c>
      <c r="M14" s="128">
        <v>12</v>
      </c>
      <c r="N14" s="121">
        <f t="shared" si="18"/>
        <v>1E-3</v>
      </c>
      <c r="V14" s="452"/>
      <c r="W14" s="132" t="s">
        <v>341</v>
      </c>
      <c r="X14" s="148" t="str">
        <f>LEFT(W14,3)</f>
        <v>Mcf</v>
      </c>
      <c r="Y14" s="180">
        <v>102.8</v>
      </c>
      <c r="Z14" s="186"/>
      <c r="AB14" t="str">
        <v>Gallons (US)</v>
      </c>
      <c r="AC14" t="str">
        <f>LEFT(AB14,13)</f>
        <v>Gallons (US)</v>
      </c>
      <c r="AD14">
        <f t="shared" si="19"/>
        <v>0</v>
      </c>
      <c r="AE14">
        <f t="shared" si="2"/>
        <v>0</v>
      </c>
      <c r="AF14">
        <f t="shared" si="3"/>
        <v>139</v>
      </c>
      <c r="AG14">
        <f t="shared" si="4"/>
        <v>138</v>
      </c>
      <c r="AH14">
        <f t="shared" si="5"/>
        <v>146</v>
      </c>
      <c r="AI14">
        <f t="shared" si="6"/>
        <v>150</v>
      </c>
      <c r="AJ14">
        <f t="shared" si="7"/>
        <v>138</v>
      </c>
      <c r="AK14">
        <f t="shared" si="8"/>
        <v>135</v>
      </c>
      <c r="AL14">
        <f t="shared" si="9"/>
        <v>92</v>
      </c>
      <c r="AM14">
        <f t="shared" si="10"/>
        <v>0</v>
      </c>
      <c r="AN14">
        <f t="shared" si="11"/>
        <v>0</v>
      </c>
      <c r="AO14">
        <f t="shared" si="12"/>
        <v>0</v>
      </c>
      <c r="AP14">
        <f t="shared" si="13"/>
        <v>0</v>
      </c>
      <c r="AQ14">
        <f t="shared" si="14"/>
        <v>0</v>
      </c>
      <c r="AR14">
        <f t="shared" si="15"/>
        <v>0</v>
      </c>
      <c r="AS14">
        <f t="shared" si="16"/>
        <v>0</v>
      </c>
      <c r="AT14">
        <f t="shared" si="17"/>
        <v>0</v>
      </c>
    </row>
    <row r="15" spans="1:46">
      <c r="A15" s="116" t="s">
        <v>228</v>
      </c>
      <c r="D15" s="118" t="s">
        <v>254</v>
      </c>
      <c r="E15" t="str">
        <f t="shared" si="0"/>
        <v>IN</v>
      </c>
      <c r="F15" t="str">
        <f t="shared" si="1"/>
        <v>Indiana</v>
      </c>
      <c r="I15" s="129" t="s">
        <v>320</v>
      </c>
      <c r="J15" s="130" t="s">
        <v>2</v>
      </c>
      <c r="K15" s="130">
        <v>1E-3</v>
      </c>
      <c r="L15" s="130">
        <v>1</v>
      </c>
      <c r="M15" s="131"/>
      <c r="V15" s="452"/>
      <c r="W15" s="132" t="s">
        <v>342</v>
      </c>
      <c r="X15" s="148" t="str">
        <f>LEFT(W15,6)</f>
        <v>Therms</v>
      </c>
      <c r="Y15" s="135">
        <v>100</v>
      </c>
      <c r="Z15" s="186"/>
      <c r="AB15" t="str">
        <v>Gallons (UK)</v>
      </c>
      <c r="AC15" t="str">
        <f>LEFT(AB15,13)</f>
        <v>Gallons (UK)</v>
      </c>
      <c r="AD15">
        <f t="shared" si="19"/>
        <v>0</v>
      </c>
      <c r="AE15">
        <f t="shared" si="2"/>
        <v>0</v>
      </c>
      <c r="AF15">
        <f t="shared" si="3"/>
        <v>166.92699999999999</v>
      </c>
      <c r="AG15">
        <f t="shared" si="4"/>
        <v>165.726</v>
      </c>
      <c r="AH15">
        <f t="shared" si="5"/>
        <v>175.333</v>
      </c>
      <c r="AI15">
        <f t="shared" si="6"/>
        <v>180.137</v>
      </c>
      <c r="AJ15">
        <f t="shared" si="7"/>
        <v>165.726</v>
      </c>
      <c r="AK15">
        <f t="shared" si="8"/>
        <v>162.12299999999999</v>
      </c>
      <c r="AL15">
        <f t="shared" si="9"/>
        <v>110.48399999999999</v>
      </c>
      <c r="AM15">
        <f t="shared" si="10"/>
        <v>0</v>
      </c>
      <c r="AN15">
        <f t="shared" si="11"/>
        <v>0</v>
      </c>
      <c r="AO15">
        <f t="shared" si="12"/>
        <v>0</v>
      </c>
      <c r="AP15">
        <f t="shared" si="13"/>
        <v>0</v>
      </c>
      <c r="AQ15">
        <f t="shared" si="14"/>
        <v>0</v>
      </c>
      <c r="AR15">
        <f t="shared" si="15"/>
        <v>0</v>
      </c>
      <c r="AS15">
        <f t="shared" si="16"/>
        <v>0</v>
      </c>
      <c r="AT15">
        <f t="shared" si="17"/>
        <v>0</v>
      </c>
    </row>
    <row r="16" spans="1:46" ht="29">
      <c r="A16" s="116" t="s">
        <v>229</v>
      </c>
      <c r="D16" s="118" t="s">
        <v>255</v>
      </c>
      <c r="E16" t="str">
        <f t="shared" si="0"/>
        <v>IA</v>
      </c>
      <c r="F16" t="str">
        <f t="shared" si="1"/>
        <v>Iowa</v>
      </c>
      <c r="V16" s="452"/>
      <c r="W16" s="132" t="s">
        <v>343</v>
      </c>
      <c r="X16" s="148" t="str">
        <f>LEFT(W16,12)</f>
        <v>cubic meters</v>
      </c>
      <c r="Y16" s="136">
        <v>36.302999999999997</v>
      </c>
      <c r="Z16" s="186"/>
      <c r="AB16" t="str">
        <v>liters</v>
      </c>
      <c r="AC16" t="str">
        <f>LEFT(AB16,7)</f>
        <v>liters</v>
      </c>
      <c r="AD16">
        <f t="shared" si="19"/>
        <v>0</v>
      </c>
      <c r="AE16">
        <f t="shared" si="2"/>
        <v>0</v>
      </c>
      <c r="AF16">
        <f t="shared" si="3"/>
        <v>36.72</v>
      </c>
      <c r="AG16">
        <f t="shared" si="4"/>
        <v>36.456000000000003</v>
      </c>
      <c r="AH16">
        <f t="shared" si="5"/>
        <v>38.569000000000003</v>
      </c>
      <c r="AI16">
        <f t="shared" si="6"/>
        <v>39.625999999999998</v>
      </c>
      <c r="AJ16">
        <f t="shared" si="7"/>
        <v>36.456000000000003</v>
      </c>
      <c r="AK16">
        <f t="shared" si="8"/>
        <v>35.662999999999997</v>
      </c>
      <c r="AL16">
        <f t="shared" si="9"/>
        <v>24.303999999999998</v>
      </c>
      <c r="AM16">
        <f t="shared" si="10"/>
        <v>0</v>
      </c>
      <c r="AN16">
        <f t="shared" si="11"/>
        <v>0</v>
      </c>
      <c r="AO16">
        <f t="shared" si="12"/>
        <v>0</v>
      </c>
      <c r="AP16">
        <f t="shared" si="13"/>
        <v>0</v>
      </c>
      <c r="AQ16">
        <f t="shared" si="14"/>
        <v>0</v>
      </c>
      <c r="AR16">
        <f t="shared" si="15"/>
        <v>0</v>
      </c>
      <c r="AS16">
        <f t="shared" si="16"/>
        <v>0</v>
      </c>
      <c r="AT16">
        <f t="shared" si="17"/>
        <v>0</v>
      </c>
    </row>
    <row r="17" spans="1:46" ht="15" customHeight="1">
      <c r="A17" s="116" t="s">
        <v>230</v>
      </c>
      <c r="D17" s="118" t="s">
        <v>256</v>
      </c>
      <c r="E17" t="str">
        <f t="shared" si="0"/>
        <v>KS</v>
      </c>
      <c r="F17" t="str">
        <f t="shared" si="1"/>
        <v>Kansas</v>
      </c>
      <c r="V17" s="453"/>
      <c r="W17" s="132" t="s">
        <v>328</v>
      </c>
      <c r="X17" s="148" t="str">
        <f>LEFT(W17,2)</f>
        <v>GJ</v>
      </c>
      <c r="Y17" s="136">
        <v>947.81700000000001</v>
      </c>
      <c r="Z17" s="187"/>
      <c r="AB17" t="str">
        <v>Input Unit Options</v>
      </c>
      <c r="AD17">
        <f t="shared" si="19"/>
        <v>0</v>
      </c>
      <c r="AE17">
        <f t="shared" si="2"/>
        <v>0</v>
      </c>
      <c r="AF17">
        <f t="shared" si="3"/>
        <v>0</v>
      </c>
      <c r="AG17">
        <f t="shared" si="4"/>
        <v>0</v>
      </c>
      <c r="AH17">
        <f t="shared" si="5"/>
        <v>0</v>
      </c>
      <c r="AI17">
        <f t="shared" si="6"/>
        <v>0</v>
      </c>
      <c r="AJ17">
        <f t="shared" si="7"/>
        <v>0</v>
      </c>
      <c r="AK17">
        <f t="shared" si="8"/>
        <v>0</v>
      </c>
      <c r="AL17">
        <f t="shared" si="9"/>
        <v>0</v>
      </c>
      <c r="AM17">
        <f t="shared" si="10"/>
        <v>0</v>
      </c>
      <c r="AN17">
        <f t="shared" si="11"/>
        <v>0</v>
      </c>
      <c r="AO17">
        <f t="shared" si="12"/>
        <v>0</v>
      </c>
      <c r="AP17">
        <f t="shared" si="13"/>
        <v>0</v>
      </c>
      <c r="AQ17">
        <f t="shared" si="14"/>
        <v>0</v>
      </c>
      <c r="AR17">
        <f t="shared" si="15"/>
        <v>0</v>
      </c>
      <c r="AS17">
        <f t="shared" si="16"/>
        <v>0</v>
      </c>
      <c r="AT17">
        <f t="shared" si="17"/>
        <v>0</v>
      </c>
    </row>
    <row r="18" spans="1:46" ht="15" customHeight="1">
      <c r="A18" s="116" t="s">
        <v>231</v>
      </c>
      <c r="D18" s="118" t="s">
        <v>257</v>
      </c>
      <c r="E18" t="str">
        <f t="shared" si="0"/>
        <v>KY</v>
      </c>
      <c r="F18" t="str">
        <f t="shared" si="1"/>
        <v>Kentucky</v>
      </c>
      <c r="V18" s="448" t="s">
        <v>344</v>
      </c>
      <c r="W18" s="147" t="s">
        <v>326</v>
      </c>
      <c r="X18" s="148" t="str">
        <f>LEFT(W18,4)</f>
        <v>kBtu</v>
      </c>
      <c r="Y18" s="173">
        <v>1</v>
      </c>
      <c r="Z18" s="174" t="s">
        <v>345</v>
      </c>
      <c r="AB18">
        <v>0</v>
      </c>
      <c r="AD18">
        <f t="shared" si="19"/>
        <v>0</v>
      </c>
      <c r="AE18">
        <f t="shared" si="2"/>
        <v>0</v>
      </c>
      <c r="AF18">
        <f t="shared" si="3"/>
        <v>0</v>
      </c>
      <c r="AG18">
        <f t="shared" si="4"/>
        <v>0</v>
      </c>
      <c r="AH18">
        <f t="shared" si="5"/>
        <v>0</v>
      </c>
      <c r="AI18">
        <f t="shared" si="6"/>
        <v>0</v>
      </c>
      <c r="AJ18">
        <f t="shared" si="7"/>
        <v>0</v>
      </c>
      <c r="AK18">
        <f t="shared" si="8"/>
        <v>0</v>
      </c>
      <c r="AL18">
        <f t="shared" si="9"/>
        <v>0</v>
      </c>
      <c r="AM18">
        <f t="shared" si="10"/>
        <v>0</v>
      </c>
      <c r="AN18">
        <f t="shared" si="11"/>
        <v>0</v>
      </c>
      <c r="AO18">
        <f t="shared" si="12"/>
        <v>0</v>
      </c>
      <c r="AP18">
        <f t="shared" si="13"/>
        <v>0</v>
      </c>
      <c r="AQ18">
        <f t="shared" si="14"/>
        <v>0</v>
      </c>
      <c r="AR18">
        <f t="shared" si="15"/>
        <v>0</v>
      </c>
      <c r="AS18">
        <f t="shared" si="16"/>
        <v>0</v>
      </c>
      <c r="AT18">
        <f t="shared" si="17"/>
        <v>0</v>
      </c>
    </row>
    <row r="19" spans="1:46" ht="15" customHeight="1">
      <c r="A19" s="116" t="s">
        <v>232</v>
      </c>
      <c r="D19" s="118" t="s">
        <v>258</v>
      </c>
      <c r="E19" t="str">
        <f t="shared" si="0"/>
        <v>LA</v>
      </c>
      <c r="F19" t="str">
        <f t="shared" si="1"/>
        <v>Louisiana</v>
      </c>
      <c r="I19" t="e" cm="1">
        <f t="array" ref="I19">Year</f>
        <v>#NAME?</v>
      </c>
      <c r="V19" s="449"/>
      <c r="W19" s="147" t="s">
        <v>327</v>
      </c>
      <c r="X19" s="148" t="str">
        <f>LEFT(W19,10)</f>
        <v>MBtu/MMBtu</v>
      </c>
      <c r="Y19" s="172">
        <v>1000</v>
      </c>
      <c r="Z19" s="175"/>
      <c r="AB19" t="str">
        <v>Lbs</v>
      </c>
      <c r="AC19" t="str">
        <f>LEFT(AB19,3)</f>
        <v>Lbs</v>
      </c>
      <c r="AD19">
        <f t="shared" si="19"/>
        <v>0</v>
      </c>
      <c r="AE19">
        <f t="shared" si="2"/>
        <v>0</v>
      </c>
      <c r="AF19">
        <f t="shared" si="3"/>
        <v>0</v>
      </c>
      <c r="AG19">
        <f t="shared" si="4"/>
        <v>0</v>
      </c>
      <c r="AH19">
        <f t="shared" si="5"/>
        <v>0</v>
      </c>
      <c r="AI19">
        <f t="shared" si="6"/>
        <v>0</v>
      </c>
      <c r="AJ19">
        <f t="shared" si="7"/>
        <v>0</v>
      </c>
      <c r="AK19">
        <f t="shared" si="8"/>
        <v>0</v>
      </c>
      <c r="AL19">
        <f t="shared" si="9"/>
        <v>0</v>
      </c>
      <c r="AM19">
        <f t="shared" si="10"/>
        <v>1.194</v>
      </c>
      <c r="AN19">
        <f t="shared" si="11"/>
        <v>0</v>
      </c>
      <c r="AO19">
        <f t="shared" si="12"/>
        <v>0</v>
      </c>
      <c r="AP19">
        <f t="shared" si="13"/>
        <v>12.545</v>
      </c>
      <c r="AQ19">
        <f t="shared" si="14"/>
        <v>12.465</v>
      </c>
      <c r="AR19">
        <f t="shared" si="15"/>
        <v>12.4</v>
      </c>
      <c r="AS19">
        <f t="shared" si="16"/>
        <v>0</v>
      </c>
      <c r="AT19">
        <f t="shared" si="17"/>
        <v>0</v>
      </c>
    </row>
    <row r="20" spans="1:46" ht="29">
      <c r="A20" s="116" t="s">
        <v>233</v>
      </c>
      <c r="D20" s="118" t="s">
        <v>259</v>
      </c>
      <c r="E20" t="str">
        <f t="shared" si="0"/>
        <v>ME</v>
      </c>
      <c r="F20" t="str">
        <f t="shared" si="1"/>
        <v>Maine</v>
      </c>
      <c r="V20" s="449"/>
      <c r="W20" s="147" t="s">
        <v>346</v>
      </c>
      <c r="X20" s="148" t="str">
        <f>LEFT(W20,7)</f>
        <v>Gallons</v>
      </c>
      <c r="Y20" s="173">
        <v>139</v>
      </c>
      <c r="Z20" s="175"/>
      <c r="AB20" t="str">
        <v>kLbs (thousand pounds)</v>
      </c>
      <c r="AC20" t="str">
        <f>LEFT(AB20,4)</f>
        <v>kLbs</v>
      </c>
      <c r="AD20">
        <f t="shared" si="19"/>
        <v>0</v>
      </c>
      <c r="AE20">
        <f t="shared" si="2"/>
        <v>0</v>
      </c>
      <c r="AF20">
        <f t="shared" si="3"/>
        <v>0</v>
      </c>
      <c r="AG20">
        <f t="shared" si="4"/>
        <v>0</v>
      </c>
      <c r="AH20">
        <f t="shared" si="5"/>
        <v>0</v>
      </c>
      <c r="AI20">
        <f t="shared" si="6"/>
        <v>0</v>
      </c>
      <c r="AJ20">
        <f t="shared" si="7"/>
        <v>0</v>
      </c>
      <c r="AK20">
        <f t="shared" si="8"/>
        <v>0</v>
      </c>
      <c r="AL20">
        <f t="shared" si="9"/>
        <v>0</v>
      </c>
      <c r="AM20">
        <f t="shared" si="10"/>
        <v>1194</v>
      </c>
      <c r="AN20">
        <f t="shared" si="11"/>
        <v>0</v>
      </c>
      <c r="AO20">
        <f t="shared" si="12"/>
        <v>0</v>
      </c>
      <c r="AP20">
        <f t="shared" si="13"/>
        <v>12545</v>
      </c>
      <c r="AQ20">
        <f t="shared" si="14"/>
        <v>12465</v>
      </c>
      <c r="AR20">
        <f t="shared" si="15"/>
        <v>12400</v>
      </c>
      <c r="AS20">
        <f t="shared" si="16"/>
        <v>0</v>
      </c>
      <c r="AT20">
        <f t="shared" si="17"/>
        <v>0</v>
      </c>
    </row>
    <row r="21" spans="1:46" ht="15" customHeight="1">
      <c r="A21" s="116" t="s">
        <v>234</v>
      </c>
      <c r="D21" s="118" t="s">
        <v>260</v>
      </c>
      <c r="E21" t="str">
        <f t="shared" si="0"/>
        <v>MD</v>
      </c>
      <c r="F21" t="str">
        <f t="shared" si="1"/>
        <v>Maryland</v>
      </c>
      <c r="V21" s="449"/>
      <c r="W21" s="147" t="s">
        <v>347</v>
      </c>
      <c r="X21" s="148" t="str">
        <f t="shared" ref="X21:X84" si="20">LEFT(W21,7)</f>
        <v>Gallons</v>
      </c>
      <c r="Y21" s="168">
        <v>166.92699999999999</v>
      </c>
      <c r="Z21" s="175"/>
      <c r="AB21" t="str">
        <v>MLbs (million pounds)</v>
      </c>
      <c r="AC21" t="str">
        <f>LEFT(AB21,4)</f>
        <v>MLbs</v>
      </c>
      <c r="AD21">
        <f t="shared" si="19"/>
        <v>0</v>
      </c>
      <c r="AE21">
        <f t="shared" si="2"/>
        <v>0</v>
      </c>
      <c r="AF21">
        <f t="shared" si="3"/>
        <v>0</v>
      </c>
      <c r="AG21">
        <f t="shared" si="4"/>
        <v>0</v>
      </c>
      <c r="AH21">
        <f t="shared" si="5"/>
        <v>0</v>
      </c>
      <c r="AI21">
        <f t="shared" si="6"/>
        <v>0</v>
      </c>
      <c r="AJ21">
        <f t="shared" si="7"/>
        <v>0</v>
      </c>
      <c r="AK21">
        <f t="shared" si="8"/>
        <v>0</v>
      </c>
      <c r="AL21">
        <f t="shared" si="9"/>
        <v>0</v>
      </c>
      <c r="AM21">
        <f t="shared" si="10"/>
        <v>1194000</v>
      </c>
      <c r="AN21">
        <f t="shared" si="11"/>
        <v>0</v>
      </c>
      <c r="AO21">
        <f t="shared" si="12"/>
        <v>0</v>
      </c>
      <c r="AP21">
        <f t="shared" si="13"/>
        <v>12545000</v>
      </c>
      <c r="AQ21">
        <f t="shared" si="14"/>
        <v>12465000</v>
      </c>
      <c r="AR21">
        <f t="shared" si="15"/>
        <v>12400000</v>
      </c>
      <c r="AS21">
        <f t="shared" si="16"/>
        <v>0</v>
      </c>
      <c r="AT21">
        <f t="shared" si="17"/>
        <v>0</v>
      </c>
    </row>
    <row r="22" spans="1:46">
      <c r="D22" s="118" t="s">
        <v>261</v>
      </c>
      <c r="E22" t="str">
        <f t="shared" si="0"/>
        <v>MA</v>
      </c>
      <c r="F22" t="str">
        <f t="shared" si="1"/>
        <v>Massachusetts</v>
      </c>
      <c r="V22" s="449"/>
      <c r="W22" s="147" t="s">
        <v>348</v>
      </c>
      <c r="X22" s="148" t="str">
        <f t="shared" si="20"/>
        <v>liters</v>
      </c>
      <c r="Y22" s="168">
        <v>36.72</v>
      </c>
      <c r="Z22" s="175"/>
      <c r="AB22" t="str">
        <v>kg</v>
      </c>
      <c r="AC22" t="str">
        <f>LEFT(AB22,2)</f>
        <v>kg</v>
      </c>
      <c r="AD22">
        <f t="shared" si="19"/>
        <v>0</v>
      </c>
      <c r="AE22">
        <f t="shared" si="2"/>
        <v>0</v>
      </c>
      <c r="AF22">
        <f t="shared" si="3"/>
        <v>0</v>
      </c>
      <c r="AG22">
        <f t="shared" si="4"/>
        <v>0</v>
      </c>
      <c r="AH22">
        <f t="shared" si="5"/>
        <v>0</v>
      </c>
      <c r="AI22">
        <f t="shared" si="6"/>
        <v>0</v>
      </c>
      <c r="AJ22">
        <f t="shared" si="7"/>
        <v>0</v>
      </c>
      <c r="AK22">
        <f t="shared" si="8"/>
        <v>0</v>
      </c>
      <c r="AL22">
        <f t="shared" si="9"/>
        <v>0</v>
      </c>
      <c r="AM22">
        <f t="shared" si="10"/>
        <v>2.6320000000000001</v>
      </c>
      <c r="AN22">
        <f t="shared" si="11"/>
        <v>0</v>
      </c>
      <c r="AO22">
        <f t="shared" si="12"/>
        <v>0</v>
      </c>
      <c r="AP22">
        <f t="shared" si="13"/>
        <v>0</v>
      </c>
      <c r="AQ22">
        <f t="shared" si="14"/>
        <v>0</v>
      </c>
      <c r="AR22">
        <f t="shared" si="15"/>
        <v>0</v>
      </c>
      <c r="AS22">
        <f t="shared" si="16"/>
        <v>0</v>
      </c>
      <c r="AT22">
        <f t="shared" si="17"/>
        <v>0</v>
      </c>
    </row>
    <row r="23" spans="1:46" ht="15" customHeight="1">
      <c r="D23" s="118" t="s">
        <v>262</v>
      </c>
      <c r="E23" t="str">
        <f t="shared" si="0"/>
        <v>MI</v>
      </c>
      <c r="F23" t="str">
        <f t="shared" si="1"/>
        <v>Michigan</v>
      </c>
      <c r="V23" s="450"/>
      <c r="W23" s="147" t="s">
        <v>328</v>
      </c>
      <c r="X23" s="148" t="str">
        <f>LEFT(W23,2)</f>
        <v>GJ</v>
      </c>
      <c r="Y23" s="168">
        <v>947.81700000000001</v>
      </c>
      <c r="Z23" s="176"/>
      <c r="AB23" t="str">
        <v>Ton Hours</v>
      </c>
      <c r="AC23" t="str">
        <f>LEFT(AB23,9)</f>
        <v>Ton Hours</v>
      </c>
      <c r="AD23">
        <f t="shared" si="19"/>
        <v>0</v>
      </c>
      <c r="AE23">
        <f t="shared" si="2"/>
        <v>0</v>
      </c>
      <c r="AF23">
        <f t="shared" si="3"/>
        <v>0</v>
      </c>
      <c r="AG23">
        <f t="shared" si="4"/>
        <v>0</v>
      </c>
      <c r="AH23">
        <f t="shared" si="5"/>
        <v>0</v>
      </c>
      <c r="AI23">
        <f t="shared" si="6"/>
        <v>0</v>
      </c>
      <c r="AJ23">
        <f t="shared" si="7"/>
        <v>0</v>
      </c>
      <c r="AK23">
        <f t="shared" si="8"/>
        <v>0</v>
      </c>
      <c r="AL23">
        <f t="shared" si="9"/>
        <v>0</v>
      </c>
      <c r="AM23">
        <f t="shared" si="10"/>
        <v>0</v>
      </c>
      <c r="AN23">
        <f t="shared" si="11"/>
        <v>0</v>
      </c>
      <c r="AO23">
        <f t="shared" si="12"/>
        <v>12</v>
      </c>
      <c r="AP23">
        <f t="shared" si="13"/>
        <v>0</v>
      </c>
      <c r="AQ23">
        <f t="shared" si="14"/>
        <v>0</v>
      </c>
      <c r="AR23">
        <f t="shared" si="15"/>
        <v>0</v>
      </c>
      <c r="AS23">
        <f t="shared" si="16"/>
        <v>0</v>
      </c>
      <c r="AT23">
        <f t="shared" si="17"/>
        <v>0</v>
      </c>
    </row>
    <row r="24" spans="1:46" ht="15" customHeight="1">
      <c r="D24" s="118" t="s">
        <v>263</v>
      </c>
      <c r="E24" t="str">
        <f t="shared" si="0"/>
        <v>MN</v>
      </c>
      <c r="F24" t="str">
        <f t="shared" si="1"/>
        <v>Minnesota</v>
      </c>
      <c r="V24" s="460" t="s">
        <v>329</v>
      </c>
      <c r="W24" s="151" t="s">
        <v>330</v>
      </c>
      <c r="X24" s="148"/>
      <c r="Y24" s="133" t="s">
        <v>331</v>
      </c>
      <c r="Z24" s="134"/>
      <c r="AB24" t="str">
        <v>Tons</v>
      </c>
      <c r="AC24" t="str">
        <f>LEFT(AB24,4)</f>
        <v>Tons</v>
      </c>
      <c r="AD24">
        <f t="shared" si="19"/>
        <v>0</v>
      </c>
      <c r="AE24">
        <f t="shared" si="2"/>
        <v>0</v>
      </c>
      <c r="AF24">
        <f t="shared" si="3"/>
        <v>0</v>
      </c>
      <c r="AG24">
        <f t="shared" si="4"/>
        <v>0</v>
      </c>
      <c r="AH24">
        <f t="shared" si="5"/>
        <v>0</v>
      </c>
      <c r="AI24">
        <f t="shared" si="6"/>
        <v>0</v>
      </c>
      <c r="AJ24">
        <f t="shared" si="7"/>
        <v>0</v>
      </c>
      <c r="AK24">
        <f t="shared" si="8"/>
        <v>0</v>
      </c>
      <c r="AL24">
        <f t="shared" si="9"/>
        <v>0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25090</v>
      </c>
      <c r="AQ24">
        <f t="shared" si="14"/>
        <v>24930</v>
      </c>
      <c r="AR24">
        <f t="shared" si="15"/>
        <v>24800</v>
      </c>
      <c r="AS24">
        <f t="shared" si="16"/>
        <v>17480</v>
      </c>
      <c r="AT24">
        <f t="shared" si="17"/>
        <v>0</v>
      </c>
    </row>
    <row r="25" spans="1:46" ht="31.5" customHeight="1">
      <c r="D25" s="118" t="s">
        <v>264</v>
      </c>
      <c r="E25" t="str">
        <f t="shared" si="0"/>
        <v>MS</v>
      </c>
      <c r="F25" t="str">
        <f t="shared" si="1"/>
        <v>Mississippi</v>
      </c>
      <c r="V25" s="461"/>
      <c r="W25" s="152"/>
      <c r="X25" s="148"/>
      <c r="Y25" s="137" t="s">
        <v>332</v>
      </c>
      <c r="Z25" s="140" t="s">
        <v>333</v>
      </c>
      <c r="AB25" t="str">
        <v>Tonnes (metric)</v>
      </c>
      <c r="AC25" t="str">
        <f>LEFT(AB25,6)</f>
        <v>Tonnes</v>
      </c>
      <c r="AD25">
        <f t="shared" si="19"/>
        <v>0</v>
      </c>
      <c r="AE25">
        <f t="shared" si="2"/>
        <v>0</v>
      </c>
      <c r="AF25">
        <f t="shared" si="3"/>
        <v>0</v>
      </c>
      <c r="AG25">
        <f t="shared" si="4"/>
        <v>0</v>
      </c>
      <c r="AH25">
        <f t="shared" si="5"/>
        <v>0</v>
      </c>
      <c r="AI25">
        <f t="shared" si="6"/>
        <v>0</v>
      </c>
      <c r="AJ25">
        <f t="shared" si="7"/>
        <v>0</v>
      </c>
      <c r="AK25">
        <f t="shared" si="8"/>
        <v>0</v>
      </c>
      <c r="AL25">
        <f t="shared" si="9"/>
        <v>0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27658.355</v>
      </c>
      <c r="AQ25">
        <f t="shared" si="14"/>
        <v>27482</v>
      </c>
      <c r="AR25">
        <f t="shared" si="15"/>
        <v>27339</v>
      </c>
      <c r="AS25">
        <f t="shared" si="16"/>
        <v>15857</v>
      </c>
      <c r="AT25">
        <f t="shared" si="17"/>
        <v>0</v>
      </c>
    </row>
    <row r="26" spans="1:46" ht="15" customHeight="1">
      <c r="D26" s="118" t="s">
        <v>265</v>
      </c>
      <c r="E26" t="str">
        <f t="shared" si="0"/>
        <v>MO</v>
      </c>
      <c r="F26" t="str">
        <f t="shared" si="1"/>
        <v>Missouri</v>
      </c>
      <c r="V26" s="451" t="s">
        <v>349</v>
      </c>
      <c r="W26" s="132" t="s">
        <v>326</v>
      </c>
      <c r="X26" s="148" t="str">
        <f>LEFT(W26,4)</f>
        <v>kBtu</v>
      </c>
      <c r="Y26" s="135">
        <v>1</v>
      </c>
      <c r="Z26" s="185" t="s">
        <v>350</v>
      </c>
    </row>
    <row r="27" spans="1:46" ht="15" customHeight="1">
      <c r="D27" s="118" t="s">
        <v>266</v>
      </c>
      <c r="E27" t="str">
        <f t="shared" si="0"/>
        <v>MT</v>
      </c>
      <c r="F27" t="str">
        <f t="shared" si="1"/>
        <v>Montana</v>
      </c>
      <c r="V27" s="452"/>
      <c r="W27" s="132" t="s">
        <v>327</v>
      </c>
      <c r="X27" s="148" t="str">
        <f>LEFT(W27,10)</f>
        <v>MBtu/MMBtu</v>
      </c>
      <c r="Y27" s="180">
        <v>1000</v>
      </c>
      <c r="Z27" s="186"/>
    </row>
    <row r="28" spans="1:46" ht="15" customHeight="1">
      <c r="D28" s="118" t="s">
        <v>267</v>
      </c>
      <c r="E28" t="str">
        <f t="shared" si="0"/>
        <v>NE</v>
      </c>
      <c r="F28" t="str">
        <f t="shared" si="1"/>
        <v>Nebraska</v>
      </c>
      <c r="V28" s="452"/>
      <c r="W28" s="132" t="s">
        <v>346</v>
      </c>
      <c r="X28" s="148" t="str">
        <f t="shared" si="20"/>
        <v>Gallons</v>
      </c>
      <c r="Y28" s="135">
        <v>138</v>
      </c>
      <c r="Z28" s="186"/>
    </row>
    <row r="29" spans="1:46" ht="15" customHeight="1">
      <c r="D29" s="118" t="s">
        <v>268</v>
      </c>
      <c r="E29" t="str">
        <f t="shared" si="0"/>
        <v>NV</v>
      </c>
      <c r="F29" t="str">
        <f t="shared" si="1"/>
        <v>Nevada</v>
      </c>
      <c r="V29" s="452"/>
      <c r="W29" s="132" t="s">
        <v>347</v>
      </c>
      <c r="X29" s="148" t="str">
        <f t="shared" si="20"/>
        <v>Gallons</v>
      </c>
      <c r="Y29" s="136">
        <v>165.726</v>
      </c>
      <c r="Z29" s="186"/>
    </row>
    <row r="30" spans="1:46">
      <c r="D30" s="118" t="s">
        <v>269</v>
      </c>
      <c r="E30" t="str">
        <f t="shared" si="0"/>
        <v>NH</v>
      </c>
      <c r="F30" t="str">
        <f t="shared" si="1"/>
        <v>New Hampshire</v>
      </c>
      <c r="V30" s="452"/>
      <c r="W30" s="132" t="s">
        <v>348</v>
      </c>
      <c r="X30" s="148" t="str">
        <f t="shared" si="20"/>
        <v>liters</v>
      </c>
      <c r="Y30" s="136">
        <v>36.456000000000003</v>
      </c>
      <c r="Z30" s="186"/>
    </row>
    <row r="31" spans="1:46" ht="15" customHeight="1">
      <c r="D31" s="118" t="s">
        <v>270</v>
      </c>
      <c r="E31" t="str">
        <f t="shared" si="0"/>
        <v>NJ</v>
      </c>
      <c r="F31" t="str">
        <f t="shared" si="1"/>
        <v>New Jersey</v>
      </c>
      <c r="V31" s="453"/>
      <c r="W31" s="132" t="s">
        <v>328</v>
      </c>
      <c r="X31" s="148" t="str">
        <f>LEFT(W31,2)</f>
        <v>GJ</v>
      </c>
      <c r="Y31" s="136">
        <v>947.81700000000001</v>
      </c>
      <c r="Z31" s="187"/>
    </row>
    <row r="32" spans="1:46" ht="15" customHeight="1">
      <c r="D32" s="118" t="s">
        <v>271</v>
      </c>
      <c r="E32" t="str">
        <f t="shared" si="0"/>
        <v>NM</v>
      </c>
      <c r="F32" t="str">
        <f t="shared" si="1"/>
        <v>New Mexico</v>
      </c>
      <c r="V32" s="448" t="s">
        <v>351</v>
      </c>
      <c r="W32" s="147" t="s">
        <v>326</v>
      </c>
      <c r="X32" s="148" t="str">
        <f>LEFT(W32,4)</f>
        <v>kBtu</v>
      </c>
      <c r="Y32" s="173">
        <v>1</v>
      </c>
      <c r="Z32" s="174" t="s">
        <v>352</v>
      </c>
    </row>
    <row r="33" spans="4:26" ht="15" customHeight="1">
      <c r="D33" s="118" t="s">
        <v>272</v>
      </c>
      <c r="E33" t="str">
        <f t="shared" si="0"/>
        <v>NY</v>
      </c>
      <c r="F33" t="str">
        <f t="shared" si="1"/>
        <v>New York</v>
      </c>
      <c r="V33" s="449"/>
      <c r="W33" s="147" t="s">
        <v>327</v>
      </c>
      <c r="X33" s="148" t="str">
        <f>LEFT(W33,10)</f>
        <v>MBtu/MMBtu</v>
      </c>
      <c r="Y33" s="172">
        <v>1000</v>
      </c>
      <c r="Z33" s="175"/>
    </row>
    <row r="34" spans="4:26" ht="15" customHeight="1">
      <c r="D34" s="118" t="s">
        <v>273</v>
      </c>
      <c r="E34" t="str">
        <f t="shared" si="0"/>
        <v>NC</v>
      </c>
      <c r="F34" t="str">
        <f t="shared" si="1"/>
        <v>North Carolina</v>
      </c>
      <c r="V34" s="449"/>
      <c r="W34" s="147" t="s">
        <v>346</v>
      </c>
      <c r="X34" s="148" t="str">
        <f t="shared" si="20"/>
        <v>Gallons</v>
      </c>
      <c r="Y34" s="173">
        <v>146</v>
      </c>
      <c r="Z34" s="175"/>
    </row>
    <row r="35" spans="4:26" ht="15" customHeight="1">
      <c r="D35" s="118" t="s">
        <v>274</v>
      </c>
      <c r="E35" t="str">
        <f t="shared" si="0"/>
        <v>ND</v>
      </c>
      <c r="F35" t="str">
        <f t="shared" si="1"/>
        <v>North Dakota</v>
      </c>
      <c r="V35" s="449"/>
      <c r="W35" s="147" t="s">
        <v>347</v>
      </c>
      <c r="X35" s="148" t="str">
        <f t="shared" si="20"/>
        <v>Gallons</v>
      </c>
      <c r="Y35" s="168">
        <v>175.333</v>
      </c>
      <c r="Z35" s="175"/>
    </row>
    <row r="36" spans="4:26">
      <c r="D36" s="118" t="s">
        <v>275</v>
      </c>
      <c r="E36" t="str">
        <f t="shared" si="0"/>
        <v>OH</v>
      </c>
      <c r="F36" t="str">
        <f t="shared" si="1"/>
        <v>Ohio</v>
      </c>
      <c r="V36" s="449"/>
      <c r="W36" s="147" t="s">
        <v>348</v>
      </c>
      <c r="X36" s="148" t="str">
        <f t="shared" si="20"/>
        <v>liters</v>
      </c>
      <c r="Y36" s="168">
        <v>38.569000000000003</v>
      </c>
      <c r="Z36" s="175"/>
    </row>
    <row r="37" spans="4:26" ht="15" customHeight="1">
      <c r="D37" s="118" t="s">
        <v>276</v>
      </c>
      <c r="E37" t="str">
        <f t="shared" si="0"/>
        <v>OK</v>
      </c>
      <c r="F37" t="str">
        <f t="shared" si="1"/>
        <v>Oklahoma</v>
      </c>
      <c r="V37" s="450"/>
      <c r="W37" s="147" t="s">
        <v>328</v>
      </c>
      <c r="X37" s="148" t="str">
        <f>LEFT(W37,2)</f>
        <v>GJ</v>
      </c>
      <c r="Y37" s="168">
        <v>947.81700000000001</v>
      </c>
      <c r="Z37" s="176"/>
    </row>
    <row r="38" spans="4:26" ht="15" customHeight="1">
      <c r="D38" s="119" t="s">
        <v>277</v>
      </c>
      <c r="E38" t="str">
        <f t="shared" si="0"/>
        <v>OR</v>
      </c>
      <c r="F38" t="str">
        <f t="shared" si="1"/>
        <v>Oregon</v>
      </c>
      <c r="V38" s="462" t="s">
        <v>353</v>
      </c>
      <c r="W38" s="132" t="s">
        <v>326</v>
      </c>
      <c r="X38" s="148" t="str">
        <f>LEFT(W38,4)</f>
        <v>kBtu</v>
      </c>
      <c r="Y38" s="135">
        <v>1</v>
      </c>
      <c r="Z38" s="185" t="s">
        <v>354</v>
      </c>
    </row>
    <row r="39" spans="4:26" ht="15" customHeight="1">
      <c r="D39" s="118" t="s">
        <v>278</v>
      </c>
      <c r="E39" t="str">
        <f t="shared" si="0"/>
        <v>PA</v>
      </c>
      <c r="F39" t="str">
        <f t="shared" si="1"/>
        <v>Pennsylvania</v>
      </c>
      <c r="V39" s="463"/>
      <c r="W39" s="132" t="s">
        <v>327</v>
      </c>
      <c r="X39" s="148" t="str">
        <f>LEFT(W39,12)</f>
        <v>MBtu/MMBtu (</v>
      </c>
      <c r="Y39" s="180">
        <v>1000</v>
      </c>
      <c r="Z39" s="186"/>
    </row>
    <row r="40" spans="4:26" ht="15" customHeight="1">
      <c r="D40" s="118" t="s">
        <v>279</v>
      </c>
      <c r="E40" t="str">
        <f t="shared" si="0"/>
        <v>RI</v>
      </c>
      <c r="F40" t="str">
        <f t="shared" si="1"/>
        <v>Rhode Island</v>
      </c>
      <c r="V40" s="463"/>
      <c r="W40" s="132" t="s">
        <v>346</v>
      </c>
      <c r="X40" s="148" t="str">
        <f t="shared" si="20"/>
        <v>Gallons</v>
      </c>
      <c r="Y40" s="135">
        <v>150</v>
      </c>
      <c r="Z40" s="186"/>
    </row>
    <row r="41" spans="4:26" ht="15" customHeight="1">
      <c r="D41" s="118" t="s">
        <v>280</v>
      </c>
      <c r="E41" t="str">
        <f t="shared" si="0"/>
        <v>SC</v>
      </c>
      <c r="F41" t="str">
        <f t="shared" si="1"/>
        <v>South Carolina</v>
      </c>
      <c r="V41" s="463"/>
      <c r="W41" s="132" t="s">
        <v>347</v>
      </c>
      <c r="X41" s="148" t="str">
        <f t="shared" si="20"/>
        <v>Gallons</v>
      </c>
      <c r="Y41" s="136">
        <v>180.137</v>
      </c>
      <c r="Z41" s="186"/>
    </row>
    <row r="42" spans="4:26">
      <c r="D42" s="118" t="s">
        <v>281</v>
      </c>
      <c r="E42" t="str">
        <f t="shared" si="0"/>
        <v>SD</v>
      </c>
      <c r="F42" t="str">
        <f t="shared" si="1"/>
        <v>South Dakota</v>
      </c>
      <c r="V42" s="463"/>
      <c r="W42" s="132" t="s">
        <v>348</v>
      </c>
      <c r="X42" s="148" t="str">
        <f t="shared" si="20"/>
        <v>liters</v>
      </c>
      <c r="Y42" s="136">
        <v>39.625999999999998</v>
      </c>
      <c r="Z42" s="186"/>
    </row>
    <row r="43" spans="4:26" ht="15" customHeight="1">
      <c r="D43" s="118" t="s">
        <v>282</v>
      </c>
      <c r="E43" t="str">
        <f t="shared" si="0"/>
        <v>TN</v>
      </c>
      <c r="F43" t="str">
        <f t="shared" si="1"/>
        <v>Tennessee</v>
      </c>
      <c r="V43" s="464"/>
      <c r="W43" s="132" t="s">
        <v>328</v>
      </c>
      <c r="X43" s="148" t="str">
        <f>LEFT(W43,2)</f>
        <v>GJ</v>
      </c>
      <c r="Y43" s="136">
        <v>947.81700000000001</v>
      </c>
      <c r="Z43" s="187"/>
    </row>
    <row r="44" spans="4:26" ht="15" customHeight="1">
      <c r="D44" s="118" t="s">
        <v>283</v>
      </c>
      <c r="E44" t="str">
        <f t="shared" si="0"/>
        <v>TX</v>
      </c>
      <c r="F44" t="str">
        <f t="shared" si="1"/>
        <v>Texas</v>
      </c>
      <c r="V44" s="448" t="s">
        <v>355</v>
      </c>
      <c r="W44" s="147" t="s">
        <v>326</v>
      </c>
      <c r="X44" s="148" t="str">
        <f>LEFT(W44,4)</f>
        <v>kBtu</v>
      </c>
      <c r="Y44" s="173">
        <v>1</v>
      </c>
      <c r="Z44" s="174" t="s">
        <v>350</v>
      </c>
    </row>
    <row r="45" spans="4:26" ht="15" customHeight="1">
      <c r="D45" s="118" t="s">
        <v>284</v>
      </c>
      <c r="E45" t="str">
        <f t="shared" si="0"/>
        <v>UT</v>
      </c>
      <c r="F45" t="str">
        <f t="shared" si="1"/>
        <v>Utah</v>
      </c>
      <c r="V45" s="449"/>
      <c r="W45" s="147" t="s">
        <v>327</v>
      </c>
      <c r="X45" s="148" t="str">
        <f>LEFT(W45,12)</f>
        <v>MBtu/MMBtu (</v>
      </c>
      <c r="Y45" s="172">
        <v>1000</v>
      </c>
      <c r="Z45" s="175"/>
    </row>
    <row r="46" spans="4:26" ht="15" customHeight="1">
      <c r="D46" s="118" t="s">
        <v>285</v>
      </c>
      <c r="E46" t="str">
        <f t="shared" si="0"/>
        <v>VT</v>
      </c>
      <c r="F46" t="str">
        <f t="shared" si="1"/>
        <v>Vermont</v>
      </c>
      <c r="V46" s="449"/>
      <c r="W46" s="147" t="s">
        <v>346</v>
      </c>
      <c r="X46" s="148" t="str">
        <f t="shared" si="20"/>
        <v>Gallons</v>
      </c>
      <c r="Y46" s="173">
        <v>138</v>
      </c>
      <c r="Z46" s="175"/>
    </row>
    <row r="47" spans="4:26" ht="15" customHeight="1">
      <c r="D47" s="118" t="s">
        <v>286</v>
      </c>
      <c r="E47" t="str">
        <f t="shared" si="0"/>
        <v>VA</v>
      </c>
      <c r="F47" t="str">
        <f t="shared" si="1"/>
        <v>Virginia</v>
      </c>
      <c r="V47" s="449"/>
      <c r="W47" s="147" t="s">
        <v>347</v>
      </c>
      <c r="X47" s="148" t="str">
        <f t="shared" si="20"/>
        <v>Gallons</v>
      </c>
      <c r="Y47" s="168">
        <v>165.726</v>
      </c>
      <c r="Z47" s="175"/>
    </row>
    <row r="48" spans="4:26">
      <c r="D48" s="118" t="s">
        <v>287</v>
      </c>
      <c r="E48" t="str">
        <f t="shared" si="0"/>
        <v>WA</v>
      </c>
      <c r="F48" t="str">
        <f t="shared" si="1"/>
        <v>Washington</v>
      </c>
      <c r="V48" s="449"/>
      <c r="W48" s="147" t="s">
        <v>348</v>
      </c>
      <c r="X48" s="148" t="str">
        <f t="shared" si="20"/>
        <v>liters</v>
      </c>
      <c r="Y48" s="168">
        <v>36.456000000000003</v>
      </c>
      <c r="Z48" s="175"/>
    </row>
    <row r="49" spans="4:26" ht="15" customHeight="1">
      <c r="D49" s="118" t="s">
        <v>288</v>
      </c>
      <c r="E49" t="str">
        <f t="shared" si="0"/>
        <v>WV</v>
      </c>
      <c r="F49" t="str">
        <f t="shared" si="1"/>
        <v>West Virginia</v>
      </c>
      <c r="V49" s="450"/>
      <c r="W49" s="147" t="s">
        <v>328</v>
      </c>
      <c r="X49" s="148" t="str">
        <f>LEFT(W49,2)</f>
        <v>GJ</v>
      </c>
      <c r="Y49" s="168">
        <v>947.81700000000001</v>
      </c>
      <c r="Z49" s="176"/>
    </row>
    <row r="50" spans="4:26" ht="15" customHeight="1">
      <c r="D50" s="118" t="s">
        <v>289</v>
      </c>
      <c r="E50" t="str">
        <f t="shared" si="0"/>
        <v>WI</v>
      </c>
      <c r="F50" t="str">
        <f t="shared" si="1"/>
        <v>Wisconsin</v>
      </c>
      <c r="V50" s="451" t="s">
        <v>356</v>
      </c>
      <c r="W50" s="132" t="s">
        <v>326</v>
      </c>
      <c r="X50" s="148" t="str">
        <f>LEFT(W50,4)</f>
        <v>kBtu</v>
      </c>
      <c r="Y50" s="135">
        <v>1</v>
      </c>
      <c r="Z50" s="185" t="s">
        <v>357</v>
      </c>
    </row>
    <row r="51" spans="4:26" ht="15" customHeight="1">
      <c r="D51" s="118" t="s">
        <v>290</v>
      </c>
      <c r="E51" t="str">
        <f t="shared" si="0"/>
        <v>WY</v>
      </c>
      <c r="F51" t="str">
        <f t="shared" si="1"/>
        <v>Wyoming</v>
      </c>
      <c r="V51" s="452"/>
      <c r="W51" s="132" t="s">
        <v>327</v>
      </c>
      <c r="X51" s="148" t="str">
        <f>LEFT(W51,12)</f>
        <v>MBtu/MMBtu (</v>
      </c>
      <c r="Y51" s="180">
        <v>1000</v>
      </c>
      <c r="Z51" s="186"/>
    </row>
    <row r="52" spans="4:26" ht="15" customHeight="1">
      <c r="D52" s="118" t="s">
        <v>291</v>
      </c>
      <c r="E52" t="str">
        <f t="shared" si="0"/>
        <v>DC</v>
      </c>
      <c r="F52" t="str">
        <f t="shared" si="1"/>
        <v>District of Colu</v>
      </c>
      <c r="V52" s="452"/>
      <c r="W52" s="132" t="s">
        <v>346</v>
      </c>
      <c r="X52" s="148" t="str">
        <f t="shared" si="20"/>
        <v>Gallons</v>
      </c>
      <c r="Y52" s="135">
        <v>135</v>
      </c>
      <c r="Z52" s="186"/>
    </row>
    <row r="53" spans="4:26" ht="15" customHeight="1">
      <c r="D53" s="119" t="s">
        <v>292</v>
      </c>
      <c r="E53" t="str">
        <f t="shared" si="0"/>
        <v>AS</v>
      </c>
      <c r="F53" t="str">
        <f t="shared" si="1"/>
        <v>American Samoa</v>
      </c>
      <c r="V53" s="452"/>
      <c r="W53" s="132" t="s">
        <v>347</v>
      </c>
      <c r="X53" s="148" t="str">
        <f t="shared" si="20"/>
        <v>Gallons</v>
      </c>
      <c r="Y53" s="136">
        <v>162.12299999999999</v>
      </c>
      <c r="Z53" s="186"/>
    </row>
    <row r="54" spans="4:26">
      <c r="D54" s="118" t="s">
        <v>293</v>
      </c>
      <c r="E54" t="str">
        <f t="shared" si="0"/>
        <v>GU</v>
      </c>
      <c r="F54" t="str">
        <f t="shared" si="1"/>
        <v>Guam</v>
      </c>
      <c r="V54" s="452"/>
      <c r="W54" s="132" t="s">
        <v>348</v>
      </c>
      <c r="X54" s="148" t="str">
        <f t="shared" si="20"/>
        <v>liters</v>
      </c>
      <c r="Y54" s="136">
        <v>35.662999999999997</v>
      </c>
      <c r="Z54" s="186"/>
    </row>
    <row r="55" spans="4:26" ht="15" customHeight="1">
      <c r="D55" s="118" t="s">
        <v>294</v>
      </c>
      <c r="E55" t="str">
        <f t="shared" si="0"/>
        <v>MP</v>
      </c>
      <c r="F55" t="str">
        <f t="shared" si="1"/>
        <v>Northern Mariana</v>
      </c>
      <c r="V55" s="453"/>
      <c r="W55" s="132" t="s">
        <v>328</v>
      </c>
      <c r="X55" s="148" t="str">
        <f>LEFT(W55,2)</f>
        <v>GJ</v>
      </c>
      <c r="Y55" s="136">
        <v>947.81700000000001</v>
      </c>
      <c r="Z55" s="187"/>
    </row>
    <row r="56" spans="4:26" ht="15" customHeight="1">
      <c r="D56" s="118" t="s">
        <v>295</v>
      </c>
      <c r="E56" t="str">
        <f t="shared" si="0"/>
        <v>PR</v>
      </c>
      <c r="F56" t="str">
        <f t="shared" si="1"/>
        <v>Puerto Rico</v>
      </c>
      <c r="V56" s="460" t="s">
        <v>329</v>
      </c>
      <c r="W56" s="151" t="s">
        <v>330</v>
      </c>
      <c r="X56" s="148"/>
      <c r="Y56" s="133" t="s">
        <v>331</v>
      </c>
      <c r="Z56" s="134"/>
    </row>
    <row r="57" spans="4:26" ht="31.5" customHeight="1">
      <c r="D57" s="118" t="s">
        <v>296</v>
      </c>
      <c r="E57" t="str">
        <f t="shared" si="0"/>
        <v>UM</v>
      </c>
      <c r="F57" t="str">
        <f t="shared" si="1"/>
        <v>United States Mi</v>
      </c>
      <c r="V57" s="461"/>
      <c r="W57" s="152"/>
      <c r="X57" s="148"/>
      <c r="Y57" s="137" t="s">
        <v>332</v>
      </c>
      <c r="Z57" s="140" t="s">
        <v>333</v>
      </c>
    </row>
    <row r="58" spans="4:26" ht="15" customHeight="1">
      <c r="D58" s="120" t="s">
        <v>297</v>
      </c>
      <c r="E58" t="str">
        <f t="shared" si="0"/>
        <v>VI</v>
      </c>
      <c r="F58" t="str">
        <f t="shared" si="1"/>
        <v xml:space="preserve">Virgin Islands, </v>
      </c>
      <c r="V58" s="465" t="s">
        <v>358</v>
      </c>
      <c r="W58" s="147" t="s">
        <v>326</v>
      </c>
      <c r="X58" s="148" t="str">
        <f>LEFT(W58,4)</f>
        <v>kBtu</v>
      </c>
      <c r="Y58" s="173">
        <v>1</v>
      </c>
      <c r="Z58" s="174" t="s">
        <v>359</v>
      </c>
    </row>
    <row r="59" spans="4:26" ht="15" customHeight="1">
      <c r="V59" s="466"/>
      <c r="W59" s="147" t="s">
        <v>327</v>
      </c>
      <c r="X59" s="148" t="str">
        <f>LEFT(W59,12)</f>
        <v>MBtu/MMBtu (</v>
      </c>
      <c r="Y59" s="172">
        <v>1000</v>
      </c>
      <c r="Z59" s="175"/>
    </row>
    <row r="60" spans="4:26" ht="15" customHeight="1">
      <c r="V60" s="466"/>
      <c r="W60" s="147" t="s">
        <v>360</v>
      </c>
      <c r="X60" s="148" t="str">
        <f>LEFT(W60,2)</f>
        <v>Cf</v>
      </c>
      <c r="Y60" s="168">
        <v>2.516</v>
      </c>
      <c r="Z60" s="175"/>
    </row>
    <row r="61" spans="4:26" ht="15" customHeight="1">
      <c r="V61" s="466"/>
      <c r="W61" s="147" t="s">
        <v>339</v>
      </c>
      <c r="X61" s="148" t="str">
        <f>LEFT(W61,3)</f>
        <v>Ccf</v>
      </c>
      <c r="Y61" s="188">
        <v>251.6</v>
      </c>
      <c r="Z61" s="175"/>
    </row>
    <row r="62" spans="4:26" ht="15" customHeight="1">
      <c r="V62" s="466"/>
      <c r="W62" s="147" t="s">
        <v>340</v>
      </c>
      <c r="X62" s="148" t="str">
        <f>LEFT(W62,3)</f>
        <v>Kcf</v>
      </c>
      <c r="Y62" s="172">
        <v>2516</v>
      </c>
      <c r="Z62" s="175"/>
    </row>
    <row r="63" spans="4:26" ht="15" customHeight="1">
      <c r="V63" s="466"/>
      <c r="W63" s="147" t="s">
        <v>346</v>
      </c>
      <c r="X63" s="148" t="str">
        <f t="shared" si="20"/>
        <v>Gallons</v>
      </c>
      <c r="Y63" s="173">
        <v>92</v>
      </c>
      <c r="Z63" s="175"/>
    </row>
    <row r="64" spans="4:26" ht="15" customHeight="1">
      <c r="V64" s="466"/>
      <c r="W64" s="147" t="s">
        <v>347</v>
      </c>
      <c r="X64" s="148" t="str">
        <f t="shared" si="20"/>
        <v>Gallons</v>
      </c>
      <c r="Y64" s="168">
        <v>110.48399999999999</v>
      </c>
      <c r="Z64" s="175"/>
    </row>
    <row r="65" spans="22:26">
      <c r="V65" s="466"/>
      <c r="W65" s="147" t="s">
        <v>348</v>
      </c>
      <c r="X65" s="148" t="str">
        <f t="shared" si="20"/>
        <v>liters</v>
      </c>
      <c r="Y65" s="168">
        <v>24.303999999999998</v>
      </c>
      <c r="Z65" s="175"/>
    </row>
    <row r="66" spans="22:26" ht="15" customHeight="1">
      <c r="V66" s="467"/>
      <c r="W66" s="147" t="s">
        <v>328</v>
      </c>
      <c r="X66" s="148" t="str">
        <f t="shared" si="20"/>
        <v>GJ (bil</v>
      </c>
      <c r="Y66" s="168">
        <v>947.81700000000001</v>
      </c>
      <c r="Z66" s="176"/>
    </row>
    <row r="67" spans="22:26" ht="15" customHeight="1">
      <c r="V67" s="451" t="s">
        <v>361</v>
      </c>
      <c r="W67" s="132" t="s">
        <v>326</v>
      </c>
      <c r="X67" s="148" t="str">
        <f t="shared" si="20"/>
        <v>kBtu (t</v>
      </c>
      <c r="Y67" s="135">
        <v>1</v>
      </c>
      <c r="Z67" s="185" t="s">
        <v>362</v>
      </c>
    </row>
    <row r="68" spans="22:26" ht="15" customHeight="1">
      <c r="V68" s="452"/>
      <c r="W68" s="132" t="s">
        <v>327</v>
      </c>
      <c r="X68" s="148" t="str">
        <f t="shared" si="20"/>
        <v>MBtu/MM</v>
      </c>
      <c r="Y68" s="180">
        <v>1000</v>
      </c>
      <c r="Z68" s="186"/>
    </row>
    <row r="69" spans="22:26">
      <c r="V69" s="452"/>
      <c r="W69" s="132" t="s">
        <v>363</v>
      </c>
      <c r="X69" s="148" t="str">
        <f t="shared" si="20"/>
        <v>Lbs</v>
      </c>
      <c r="Y69" s="136">
        <v>1.194</v>
      </c>
      <c r="Z69" s="186"/>
    </row>
    <row r="70" spans="22:26" ht="15" customHeight="1">
      <c r="V70" s="452"/>
      <c r="W70" s="132" t="s">
        <v>364</v>
      </c>
      <c r="X70" s="148" t="str">
        <f t="shared" si="20"/>
        <v>kLbs (t</v>
      </c>
      <c r="Y70" s="180">
        <v>1194</v>
      </c>
      <c r="Z70" s="186"/>
    </row>
    <row r="71" spans="22:26" ht="15" customHeight="1">
      <c r="V71" s="452"/>
      <c r="W71" s="132" t="s">
        <v>365</v>
      </c>
      <c r="X71" s="148" t="str">
        <f t="shared" si="20"/>
        <v>MLbs (m</v>
      </c>
      <c r="Y71" s="180">
        <v>1194000</v>
      </c>
      <c r="Z71" s="186"/>
    </row>
    <row r="72" spans="22:26">
      <c r="V72" s="452"/>
      <c r="W72" s="132" t="s">
        <v>366</v>
      </c>
      <c r="X72" s="148" t="str">
        <f t="shared" si="20"/>
        <v>therms</v>
      </c>
      <c r="Y72" s="181">
        <v>100</v>
      </c>
      <c r="Z72" s="186"/>
    </row>
    <row r="73" spans="22:26" ht="15" customHeight="1">
      <c r="V73" s="452"/>
      <c r="W73" s="132" t="s">
        <v>328</v>
      </c>
      <c r="X73" s="148" t="str">
        <f t="shared" si="20"/>
        <v>GJ (bil</v>
      </c>
      <c r="Y73" s="136">
        <v>947.81700000000001</v>
      </c>
      <c r="Z73" s="186"/>
    </row>
    <row r="74" spans="22:26">
      <c r="V74" s="453"/>
      <c r="W74" s="132" t="s">
        <v>367</v>
      </c>
      <c r="X74" s="148" t="str">
        <f t="shared" si="20"/>
        <v>kg</v>
      </c>
      <c r="Y74" s="136">
        <v>2.6320000000000001</v>
      </c>
      <c r="Z74" s="187"/>
    </row>
    <row r="75" spans="22:26" ht="15" customHeight="1">
      <c r="V75" s="448" t="s">
        <v>368</v>
      </c>
      <c r="W75" s="147" t="s">
        <v>326</v>
      </c>
      <c r="X75" s="148" t="str">
        <f t="shared" si="20"/>
        <v>kBtu (t</v>
      </c>
      <c r="Y75" s="173">
        <v>1</v>
      </c>
      <c r="Z75" s="182" t="s">
        <v>369</v>
      </c>
    </row>
    <row r="76" spans="22:26" ht="15" customHeight="1">
      <c r="V76" s="449"/>
      <c r="W76" s="147" t="s">
        <v>327</v>
      </c>
      <c r="X76" s="148" t="str">
        <f t="shared" si="20"/>
        <v>MBtu/MM</v>
      </c>
      <c r="Y76" s="172">
        <v>1000</v>
      </c>
      <c r="Z76" s="183"/>
    </row>
    <row r="77" spans="22:26">
      <c r="V77" s="449"/>
      <c r="W77" s="147" t="s">
        <v>342</v>
      </c>
      <c r="X77" s="148" t="str">
        <f t="shared" si="20"/>
        <v>Therms</v>
      </c>
      <c r="Y77" s="173">
        <v>100</v>
      </c>
      <c r="Z77" s="183"/>
    </row>
    <row r="78" spans="22:26" ht="15" customHeight="1">
      <c r="V78" s="450"/>
      <c r="W78" s="147" t="s">
        <v>328</v>
      </c>
      <c r="X78" s="148" t="str">
        <f t="shared" si="20"/>
        <v>GJ (bil</v>
      </c>
      <c r="Y78" s="168">
        <v>947.81700000000001</v>
      </c>
      <c r="Z78" s="184"/>
    </row>
    <row r="79" spans="22:26" ht="15" customHeight="1">
      <c r="V79" s="462" t="s">
        <v>370</v>
      </c>
      <c r="W79" s="132" t="s">
        <v>326</v>
      </c>
      <c r="X79" s="148" t="str">
        <f t="shared" si="20"/>
        <v>kBtu (t</v>
      </c>
      <c r="Y79" s="135">
        <v>1</v>
      </c>
      <c r="Z79" s="177" t="s">
        <v>369</v>
      </c>
    </row>
    <row r="80" spans="22:26" ht="15" customHeight="1">
      <c r="V80" s="463"/>
      <c r="W80" s="132" t="s">
        <v>327</v>
      </c>
      <c r="X80" s="148" t="str">
        <f t="shared" si="20"/>
        <v>MBtu/MM</v>
      </c>
      <c r="Y80" s="180">
        <v>1000</v>
      </c>
      <c r="Z80" s="178"/>
    </row>
    <row r="81" spans="22:26">
      <c r="V81" s="463"/>
      <c r="W81" s="132" t="s">
        <v>371</v>
      </c>
      <c r="X81" s="148" t="str">
        <f t="shared" si="20"/>
        <v>Ton Hou</v>
      </c>
      <c r="Y81" s="181">
        <v>12</v>
      </c>
      <c r="Z81" s="178"/>
    </row>
    <row r="82" spans="22:26" ht="15" customHeight="1">
      <c r="V82" s="464"/>
      <c r="W82" s="132" t="s">
        <v>328</v>
      </c>
      <c r="X82" s="148" t="str">
        <f t="shared" si="20"/>
        <v>GJ (bil</v>
      </c>
      <c r="Y82" s="136">
        <v>947.81700000000001</v>
      </c>
      <c r="Z82" s="179"/>
    </row>
    <row r="83" spans="22:26" ht="15" customHeight="1">
      <c r="V83" s="448" t="s">
        <v>372</v>
      </c>
      <c r="W83" s="147" t="s">
        <v>326</v>
      </c>
      <c r="X83" s="148" t="str">
        <f t="shared" si="20"/>
        <v>kBtu (t</v>
      </c>
      <c r="Y83" s="173">
        <v>1</v>
      </c>
      <c r="Z83" s="174" t="s">
        <v>373</v>
      </c>
    </row>
    <row r="84" spans="22:26" ht="15" customHeight="1">
      <c r="V84" s="449"/>
      <c r="W84" s="147" t="s">
        <v>327</v>
      </c>
      <c r="X84" s="148" t="str">
        <f t="shared" si="20"/>
        <v>MBtu/MM</v>
      </c>
      <c r="Y84" s="172">
        <v>1000</v>
      </c>
      <c r="Z84" s="175"/>
    </row>
    <row r="85" spans="22:26">
      <c r="V85" s="449"/>
      <c r="W85" s="147" t="s">
        <v>374</v>
      </c>
      <c r="X85" s="148" t="str">
        <f t="shared" ref="X85:X114" si="21">LEFT(W85,7)</f>
        <v>Tons</v>
      </c>
      <c r="Y85" s="172">
        <v>25090</v>
      </c>
      <c r="Z85" s="175"/>
    </row>
    <row r="86" spans="22:26">
      <c r="V86" s="449"/>
      <c r="W86" s="147" t="s">
        <v>363</v>
      </c>
      <c r="X86" s="148" t="str">
        <f t="shared" si="21"/>
        <v>Lbs</v>
      </c>
      <c r="Y86" s="168">
        <v>12.545</v>
      </c>
      <c r="Z86" s="175"/>
    </row>
    <row r="87" spans="22:26" ht="15" customHeight="1">
      <c r="V87" s="449"/>
      <c r="W87" s="147" t="s">
        <v>364</v>
      </c>
      <c r="X87" s="148" t="str">
        <f t="shared" si="21"/>
        <v>kLbs (t</v>
      </c>
      <c r="Y87" s="172">
        <v>12545</v>
      </c>
      <c r="Z87" s="175"/>
    </row>
    <row r="88" spans="22:26" ht="15" customHeight="1">
      <c r="V88" s="449"/>
      <c r="W88" s="147" t="s">
        <v>365</v>
      </c>
      <c r="X88" s="148" t="str">
        <f t="shared" si="21"/>
        <v>MLbs (m</v>
      </c>
      <c r="Y88" s="172">
        <v>12545000</v>
      </c>
      <c r="Z88" s="175"/>
    </row>
    <row r="89" spans="22:26" ht="15" customHeight="1">
      <c r="V89" s="449"/>
      <c r="W89" s="147" t="s">
        <v>375</v>
      </c>
      <c r="X89" s="148" t="str">
        <f t="shared" si="21"/>
        <v xml:space="preserve">Tonnes </v>
      </c>
      <c r="Y89" s="167">
        <v>27658.355</v>
      </c>
      <c r="Z89" s="175"/>
    </row>
    <row r="90" spans="22:26" ht="15" customHeight="1">
      <c r="V90" s="450"/>
      <c r="W90" s="147" t="s">
        <v>328</v>
      </c>
      <c r="X90" s="148" t="str">
        <f t="shared" si="21"/>
        <v>GJ (bil</v>
      </c>
      <c r="Y90" s="168">
        <v>947.81700000000001</v>
      </c>
      <c r="Z90" s="176"/>
    </row>
    <row r="91" spans="22:26" ht="15" customHeight="1">
      <c r="V91" s="474" t="s">
        <v>329</v>
      </c>
      <c r="W91" s="149" t="s">
        <v>330</v>
      </c>
      <c r="X91" s="148" t="str">
        <f t="shared" si="21"/>
        <v>Input U</v>
      </c>
      <c r="Y91" s="169" t="s">
        <v>331</v>
      </c>
      <c r="Z91" s="170"/>
    </row>
    <row r="92" spans="22:26" ht="31.5" customHeight="1">
      <c r="V92" s="475"/>
      <c r="W92" s="150"/>
      <c r="X92" s="148" t="str">
        <f t="shared" si="21"/>
        <v/>
      </c>
      <c r="Y92" s="171" t="s">
        <v>332</v>
      </c>
      <c r="Z92" s="141" t="s">
        <v>333</v>
      </c>
    </row>
    <row r="93" spans="22:26" ht="15" customHeight="1">
      <c r="V93" s="468" t="s">
        <v>376</v>
      </c>
      <c r="W93" s="145" t="s">
        <v>326</v>
      </c>
      <c r="X93" s="148" t="str">
        <f t="shared" si="21"/>
        <v>kBtu (t</v>
      </c>
      <c r="Y93" s="161">
        <v>1</v>
      </c>
      <c r="Z93" s="154" t="s">
        <v>377</v>
      </c>
    </row>
    <row r="94" spans="22:26" ht="15" customHeight="1">
      <c r="V94" s="469"/>
      <c r="W94" s="145" t="s">
        <v>327</v>
      </c>
      <c r="X94" s="148" t="str">
        <f t="shared" si="21"/>
        <v>MBtu/MM</v>
      </c>
      <c r="Y94" s="157">
        <v>1000</v>
      </c>
      <c r="Z94" s="155"/>
    </row>
    <row r="95" spans="22:26">
      <c r="V95" s="469"/>
      <c r="W95" s="145" t="s">
        <v>374</v>
      </c>
      <c r="X95" s="148" t="str">
        <f t="shared" si="21"/>
        <v>Tons</v>
      </c>
      <c r="Y95" s="157">
        <v>24930</v>
      </c>
      <c r="Z95" s="155"/>
    </row>
    <row r="96" spans="22:26">
      <c r="V96" s="469"/>
      <c r="W96" s="145" t="s">
        <v>363</v>
      </c>
      <c r="X96" s="148" t="str">
        <f t="shared" si="21"/>
        <v>Lbs</v>
      </c>
      <c r="Y96" s="158">
        <v>12.465</v>
      </c>
      <c r="Z96" s="155"/>
    </row>
    <row r="97" spans="22:26" ht="15" customHeight="1">
      <c r="V97" s="469"/>
      <c r="W97" s="145" t="s">
        <v>364</v>
      </c>
      <c r="X97" s="148" t="str">
        <f t="shared" si="21"/>
        <v>kLbs (t</v>
      </c>
      <c r="Y97" s="157">
        <v>12465</v>
      </c>
      <c r="Z97" s="155"/>
    </row>
    <row r="98" spans="22:26" ht="15" customHeight="1">
      <c r="V98" s="469"/>
      <c r="W98" s="145" t="s">
        <v>365</v>
      </c>
      <c r="X98" s="148" t="str">
        <f t="shared" si="21"/>
        <v>MLbs (m</v>
      </c>
      <c r="Y98" s="157">
        <v>12465000</v>
      </c>
      <c r="Z98" s="155"/>
    </row>
    <row r="99" spans="22:26" ht="15" customHeight="1">
      <c r="V99" s="469"/>
      <c r="W99" s="145" t="s">
        <v>375</v>
      </c>
      <c r="X99" s="148" t="str">
        <f t="shared" si="21"/>
        <v xml:space="preserve">Tonnes </v>
      </c>
      <c r="Y99" s="157">
        <v>27482</v>
      </c>
      <c r="Z99" s="155"/>
    </row>
    <row r="100" spans="22:26" ht="15" customHeight="1">
      <c r="V100" s="470"/>
      <c r="W100" s="145" t="s">
        <v>328</v>
      </c>
      <c r="X100" s="148" t="str">
        <f t="shared" si="21"/>
        <v>GJ (bil</v>
      </c>
      <c r="Y100" s="158">
        <v>947.81700000000001</v>
      </c>
      <c r="Z100" s="156"/>
    </row>
    <row r="101" spans="22:26" ht="15" customHeight="1">
      <c r="V101" s="471" t="s">
        <v>378</v>
      </c>
      <c r="W101" s="146" t="s">
        <v>326</v>
      </c>
      <c r="X101" s="148" t="str">
        <f t="shared" si="21"/>
        <v>kBtu (t</v>
      </c>
      <c r="Y101" s="163">
        <v>1</v>
      </c>
      <c r="Z101" s="164" t="s">
        <v>379</v>
      </c>
    </row>
    <row r="102" spans="22:26" ht="15" customHeight="1">
      <c r="V102" s="472"/>
      <c r="W102" s="146" t="s">
        <v>327</v>
      </c>
      <c r="X102" s="148" t="str">
        <f t="shared" si="21"/>
        <v>MBtu/MM</v>
      </c>
      <c r="Y102" s="159">
        <v>1000</v>
      </c>
      <c r="Z102" s="165"/>
    </row>
    <row r="103" spans="22:26">
      <c r="V103" s="472"/>
      <c r="W103" s="146" t="s">
        <v>374</v>
      </c>
      <c r="X103" s="148" t="str">
        <f t="shared" si="21"/>
        <v>Tons</v>
      </c>
      <c r="Y103" s="159">
        <v>24800</v>
      </c>
      <c r="Z103" s="165"/>
    </row>
    <row r="104" spans="22:26">
      <c r="V104" s="472"/>
      <c r="W104" s="146" t="s">
        <v>363</v>
      </c>
      <c r="X104" s="148" t="str">
        <f t="shared" si="21"/>
        <v>Lbs</v>
      </c>
      <c r="Y104" s="162">
        <v>12.4</v>
      </c>
      <c r="Z104" s="165"/>
    </row>
    <row r="105" spans="22:26" ht="15" customHeight="1">
      <c r="V105" s="472"/>
      <c r="W105" s="146" t="s">
        <v>364</v>
      </c>
      <c r="X105" s="148" t="str">
        <f t="shared" si="21"/>
        <v>kLbs (t</v>
      </c>
      <c r="Y105" s="159">
        <v>12400</v>
      </c>
      <c r="Z105" s="165"/>
    </row>
    <row r="106" spans="22:26" ht="15" customHeight="1">
      <c r="V106" s="472"/>
      <c r="W106" s="146" t="s">
        <v>365</v>
      </c>
      <c r="X106" s="148" t="str">
        <f t="shared" si="21"/>
        <v>MLbs (m</v>
      </c>
      <c r="Y106" s="159">
        <v>12400000</v>
      </c>
      <c r="Z106" s="165"/>
    </row>
    <row r="107" spans="22:26" ht="15" customHeight="1">
      <c r="V107" s="472"/>
      <c r="W107" s="146" t="s">
        <v>375</v>
      </c>
      <c r="X107" s="148" t="str">
        <f t="shared" si="21"/>
        <v xml:space="preserve">Tonnes </v>
      </c>
      <c r="Y107" s="159">
        <v>27339</v>
      </c>
      <c r="Z107" s="165"/>
    </row>
    <row r="108" spans="22:26" ht="15" customHeight="1">
      <c r="V108" s="473"/>
      <c r="W108" s="146" t="s">
        <v>328</v>
      </c>
      <c r="X108" s="148" t="str">
        <f t="shared" si="21"/>
        <v>GJ (bil</v>
      </c>
      <c r="Y108" s="160">
        <v>947.81700000000001</v>
      </c>
      <c r="Z108" s="166"/>
    </row>
    <row r="109" spans="22:26" ht="15" customHeight="1">
      <c r="V109" s="468" t="s">
        <v>380</v>
      </c>
      <c r="W109" s="145" t="s">
        <v>326</v>
      </c>
      <c r="X109" s="148" t="str">
        <f t="shared" si="21"/>
        <v>kBtu (t</v>
      </c>
      <c r="Y109" s="161">
        <v>1</v>
      </c>
      <c r="Z109" s="154" t="s">
        <v>381</v>
      </c>
    </row>
    <row r="110" spans="22:26" ht="15" customHeight="1">
      <c r="V110" s="469"/>
      <c r="W110" s="145" t="s">
        <v>327</v>
      </c>
      <c r="X110" s="148" t="str">
        <f t="shared" si="21"/>
        <v>MBtu/MM</v>
      </c>
      <c r="Y110" s="157">
        <v>1000</v>
      </c>
      <c r="Z110" s="155"/>
    </row>
    <row r="111" spans="22:26">
      <c r="V111" s="469"/>
      <c r="W111" s="145" t="s">
        <v>374</v>
      </c>
      <c r="X111" s="148" t="str">
        <f t="shared" si="21"/>
        <v>Tons</v>
      </c>
      <c r="Y111" s="157">
        <v>17480</v>
      </c>
      <c r="Z111" s="155"/>
    </row>
    <row r="112" spans="22:26" ht="15" customHeight="1">
      <c r="V112" s="469"/>
      <c r="W112" s="145" t="s">
        <v>375</v>
      </c>
      <c r="X112" s="148" t="str">
        <f t="shared" si="21"/>
        <v xml:space="preserve">Tonnes </v>
      </c>
      <c r="Y112" s="157">
        <v>15857</v>
      </c>
      <c r="Z112" s="155"/>
    </row>
    <row r="113" spans="22:26" ht="15" customHeight="1">
      <c r="V113" s="470"/>
      <c r="W113" s="145" t="s">
        <v>328</v>
      </c>
      <c r="X113" s="148" t="str">
        <f t="shared" si="21"/>
        <v>GJ (bil</v>
      </c>
      <c r="Y113" s="158">
        <v>947.81700000000001</v>
      </c>
      <c r="Z113" s="156"/>
    </row>
    <row r="114" spans="22:26" ht="51" customHeight="1">
      <c r="V114" s="142" t="s">
        <v>382</v>
      </c>
      <c r="W114" s="144" t="s">
        <v>326</v>
      </c>
      <c r="X114" s="148" t="str">
        <f t="shared" si="21"/>
        <v>kBtu (t</v>
      </c>
      <c r="Y114" s="153">
        <v>1</v>
      </c>
      <c r="Z114" s="143" t="s">
        <v>369</v>
      </c>
    </row>
  </sheetData>
  <mergeCells count="22">
    <mergeCell ref="V109:V113"/>
    <mergeCell ref="V101:V108"/>
    <mergeCell ref="V93:V100"/>
    <mergeCell ref="V91:V92"/>
    <mergeCell ref="V83:V90"/>
    <mergeCell ref="V79:V82"/>
    <mergeCell ref="V75:V78"/>
    <mergeCell ref="V67:V74"/>
    <mergeCell ref="V58:V66"/>
    <mergeCell ref="V56:V57"/>
    <mergeCell ref="V50:V55"/>
    <mergeCell ref="V44:V49"/>
    <mergeCell ref="V38:V43"/>
    <mergeCell ref="V32:V37"/>
    <mergeCell ref="V24:V25"/>
    <mergeCell ref="V26:V31"/>
    <mergeCell ref="V18:V23"/>
    <mergeCell ref="V9:V17"/>
    <mergeCell ref="W2:X3"/>
    <mergeCell ref="V4:V8"/>
    <mergeCell ref="Q6:Q7"/>
    <mergeCell ref="V2:V3"/>
  </mergeCells>
  <dataValidations count="1">
    <dataValidation type="list" showInputMessage="1" showErrorMessage="1" sqref="AD2:AT2" xr:uid="{B1054B9D-419F-4976-863C-EAEFAAD502F9}">
      <formula1>$V$4:$V$114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Report</vt:lpstr>
      <vt:lpstr>Form</vt:lpstr>
      <vt:lpstr>Calculation</vt:lpstr>
      <vt:lpstr>Pred. EUI Calc.</vt:lpstr>
      <vt:lpstr>Pred. EUI</vt:lpstr>
      <vt:lpstr>Lighting Calculation</vt:lpstr>
      <vt:lpstr>Lookup Tables</vt:lpstr>
      <vt:lpstr>Max</vt:lpstr>
      <vt:lpstr>Min</vt:lpstr>
      <vt:lpstr>Refference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IKIO</dc:creator>
  <cp:lastModifiedBy>Manuj Kumar Joshi</cp:lastModifiedBy>
  <cp:lastPrinted>2024-04-17T07:03:28Z</cp:lastPrinted>
  <dcterms:created xsi:type="dcterms:W3CDTF">2015-06-05T18:17:20Z</dcterms:created>
  <dcterms:modified xsi:type="dcterms:W3CDTF">2025-06-27T10:43:18Z</dcterms:modified>
</cp:coreProperties>
</file>